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s Documentos JLG\Outlook\Jose Luis\Auditorias Semanales\Auditorias Semanales 2026\"/>
    </mc:Choice>
  </mc:AlternateContent>
  <xr:revisionPtr revIDLastSave="0" documentId="8_{DEDA5939-D1C3-44D6-8FD5-C55FD9326D1B}" xr6:coauthVersionLast="47" xr6:coauthVersionMax="47" xr10:uidLastSave="{00000000-0000-0000-0000-000000000000}"/>
  <bookViews>
    <workbookView xWindow="-110" yWindow="-110" windowWidth="19420" windowHeight="10300" xr2:uid="{BA2CA4CA-F78D-4C9D-8A91-924D436651CA}"/>
  </bookViews>
  <sheets>
    <sheet name="Auditorias Sem 25" sheetId="3" r:id="rId1"/>
    <sheet name="Proyeccion Sem 26" sheetId="1" r:id="rId2"/>
    <sheet name="Proyeccion Sem 27" sheetId="2" r:id="rId3"/>
  </sheets>
  <definedNames>
    <definedName name="_xlnm._FilterDatabase" localSheetId="0" hidden="1">'Auditorias Sem 25'!$B$4:$G$75</definedName>
    <definedName name="_xlnm._FilterDatabase" localSheetId="2" hidden="1">'Proyeccion Sem 27'!$B$4:$G$17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2" l="1"/>
  <c r="F49" i="2"/>
  <c r="F46" i="2"/>
  <c r="F38" i="2"/>
  <c r="F37" i="2"/>
  <c r="F35" i="2"/>
  <c r="F31" i="2"/>
  <c r="F24" i="2"/>
  <c r="F22" i="2"/>
  <c r="F20" i="2"/>
  <c r="F18" i="2"/>
  <c r="F16" i="2"/>
  <c r="F14" i="2"/>
  <c r="F12" i="2"/>
  <c r="F10" i="2"/>
  <c r="F8" i="2"/>
  <c r="F6" i="2"/>
  <c r="F306" i="1"/>
  <c r="F313" i="1"/>
  <c r="F33" i="2"/>
  <c r="F29" i="2"/>
  <c r="F305" i="1"/>
  <c r="F303" i="1"/>
  <c r="F301" i="1"/>
  <c r="F298" i="1"/>
  <c r="F293" i="1"/>
  <c r="F288" i="1"/>
  <c r="F278" i="1"/>
  <c r="F273" i="1"/>
  <c r="F268" i="1"/>
  <c r="F264" i="1"/>
  <c r="F259" i="1"/>
  <c r="F254" i="1"/>
  <c r="F249" i="1"/>
  <c r="F244" i="1"/>
  <c r="F241" i="1"/>
  <c r="F239" i="1"/>
  <c r="F237" i="1"/>
  <c r="F234" i="1"/>
  <c r="F232" i="1"/>
  <c r="F230" i="1"/>
  <c r="F228" i="1"/>
  <c r="F226" i="1"/>
  <c r="F220" i="1"/>
  <c r="F217" i="1"/>
  <c r="F215" i="1"/>
  <c r="F213" i="1"/>
  <c r="F211" i="1"/>
  <c r="F206" i="1"/>
  <c r="F201" i="1"/>
  <c r="F199" i="1"/>
  <c r="F196" i="1"/>
  <c r="F191" i="1"/>
  <c r="F186" i="1"/>
  <c r="F181" i="1"/>
  <c r="F177" i="1"/>
  <c r="F171" i="1"/>
  <c r="F166" i="1"/>
  <c r="F161" i="1"/>
  <c r="F157" i="1"/>
  <c r="F155" i="1"/>
  <c r="F153" i="1"/>
  <c r="F150" i="1"/>
  <c r="F148" i="1"/>
  <c r="F145" i="1"/>
  <c r="F143" i="1"/>
  <c r="F141" i="1"/>
  <c r="F138" i="1"/>
  <c r="F135" i="1"/>
  <c r="F133" i="1"/>
  <c r="F129" i="1"/>
  <c r="F126" i="1"/>
  <c r="F124" i="1"/>
  <c r="F122" i="1"/>
  <c r="F120" i="1"/>
  <c r="F118" i="1"/>
  <c r="F116" i="1"/>
  <c r="F113" i="1"/>
  <c r="F110" i="1"/>
  <c r="F107" i="1"/>
  <c r="F104" i="1"/>
  <c r="F101" i="1"/>
  <c r="F92" i="1"/>
  <c r="F88" i="1"/>
  <c r="F83" i="1"/>
  <c r="F80" i="1"/>
  <c r="F78" i="1"/>
  <c r="F75" i="1"/>
  <c r="F73" i="1"/>
  <c r="F71" i="1"/>
  <c r="F69" i="1"/>
  <c r="F67" i="1"/>
  <c r="F65" i="1"/>
  <c r="F63" i="1"/>
  <c r="F61" i="1"/>
  <c r="F59" i="1"/>
  <c r="F57" i="1"/>
  <c r="F55" i="1"/>
  <c r="F52" i="1"/>
  <c r="F50" i="1"/>
  <c r="F48" i="1"/>
  <c r="F46" i="1"/>
  <c r="F42" i="1"/>
  <c r="F40" i="1"/>
  <c r="F31" i="1"/>
  <c r="F29" i="1"/>
  <c r="F27" i="1"/>
  <c r="F25" i="1"/>
  <c r="F22" i="1"/>
  <c r="F19" i="1"/>
  <c r="F16" i="1"/>
  <c r="F8" i="1"/>
  <c r="F6" i="1"/>
  <c r="F86" i="3"/>
  <c r="F167" i="3"/>
  <c r="F165" i="3"/>
  <c r="F160" i="3"/>
  <c r="F154" i="3"/>
  <c r="F148" i="3"/>
  <c r="F146" i="3"/>
  <c r="F144" i="3"/>
  <c r="F140" i="3"/>
  <c r="F137" i="3"/>
  <c r="F135" i="3"/>
  <c r="F129" i="3"/>
  <c r="F124" i="3"/>
  <c r="F117" i="3"/>
  <c r="F112" i="3"/>
  <c r="F103" i="3"/>
  <c r="F101" i="3"/>
  <c r="F99" i="3"/>
  <c r="F97" i="3"/>
  <c r="F94" i="3"/>
  <c r="F92" i="3"/>
  <c r="F90" i="3"/>
  <c r="F74" i="3"/>
  <c r="F71" i="3"/>
  <c r="F65" i="3"/>
  <c r="F63" i="3"/>
  <c r="F60" i="3"/>
  <c r="F52" i="3"/>
  <c r="F46" i="3"/>
  <c r="F43" i="3"/>
  <c r="F40" i="3"/>
  <c r="F38" i="3"/>
  <c r="F36" i="3"/>
  <c r="F34" i="3"/>
  <c r="F32" i="3"/>
  <c r="F27" i="3"/>
  <c r="F23" i="3"/>
  <c r="F21" i="3"/>
  <c r="M22" i="2"/>
  <c r="M17" i="2"/>
  <c r="M9" i="1"/>
  <c r="M20" i="3"/>
  <c r="M27" i="3"/>
  <c r="M30" i="1"/>
  <c r="F25" i="2" l="1"/>
  <c r="T16" i="2"/>
  <c r="T10" i="2"/>
  <c r="T32" i="1"/>
  <c r="T31" i="3"/>
  <c r="T26" i="3"/>
  <c r="F312" i="1" l="1"/>
  <c r="F310" i="1"/>
  <c r="F88" i="3"/>
  <c r="F168" i="3" s="1"/>
  <c r="F84" i="3"/>
  <c r="F82" i="3"/>
  <c r="M24" i="1"/>
  <c r="T36" i="3" l="1"/>
  <c r="F184" i="3" l="1"/>
  <c r="F182" i="3"/>
  <c r="F174" i="3"/>
  <c r="F172" i="3"/>
  <c r="F19" i="3"/>
  <c r="F17" i="3"/>
  <c r="F15" i="3"/>
  <c r="F13" i="3"/>
  <c r="F11" i="3"/>
  <c r="F9" i="3"/>
  <c r="F6" i="3"/>
  <c r="F75" i="3" l="1"/>
  <c r="F175" i="3"/>
  <c r="F185" i="3"/>
  <c r="T41" i="1" l="1"/>
</calcChain>
</file>

<file path=xl/sharedStrings.xml><?xml version="1.0" encoding="utf-8"?>
<sst xmlns="http://schemas.openxmlformats.org/spreadsheetml/2006/main" count="1316" uniqueCount="561">
  <si>
    <t>AUDITORIAS EXTERNAS</t>
  </si>
  <si>
    <t>CLIENTE</t>
  </si>
  <si>
    <t>ESTILO</t>
  </si>
  <si>
    <t>PO</t>
  </si>
  <si>
    <t>Color</t>
  </si>
  <si>
    <t>Cant. Prog.</t>
  </si>
  <si>
    <t>Externa</t>
  </si>
  <si>
    <t>VINEYARD</t>
  </si>
  <si>
    <t>TRAVIS M.</t>
  </si>
  <si>
    <t>VINES</t>
  </si>
  <si>
    <t xml:space="preserve">WHITE               </t>
  </si>
  <si>
    <t>TOTAL PETER MILLAR</t>
  </si>
  <si>
    <t>6V0002</t>
  </si>
  <si>
    <t>Total 6V0002</t>
  </si>
  <si>
    <t xml:space="preserve">TOTAL ECLIPSE       </t>
  </si>
  <si>
    <t>0100 - White Cap</t>
  </si>
  <si>
    <t>TOTAL TRAVIS M.</t>
  </si>
  <si>
    <t>WHITE - WHITE</t>
  </si>
  <si>
    <t>FOOT JOY</t>
  </si>
  <si>
    <t>NAVY - NAVY</t>
  </si>
  <si>
    <t>0456 - Jake blue</t>
  </si>
  <si>
    <t>HEATHER GREY - HEATHER GREY</t>
  </si>
  <si>
    <t>TOTAL VINEYARDS VINES</t>
  </si>
  <si>
    <t>GULF - GULF</t>
  </si>
  <si>
    <t>MIDNIGHT - MIDNIGHT</t>
  </si>
  <si>
    <t>STITCH</t>
  </si>
  <si>
    <t>TOTAL STITCH</t>
  </si>
  <si>
    <t>TOTAL FOOT JOY</t>
  </si>
  <si>
    <t>TOTAL CHEVIGNON</t>
  </si>
  <si>
    <t>TOTAL TRAVIS MATHEW</t>
  </si>
  <si>
    <t>0461 - Moonshine</t>
  </si>
  <si>
    <t>241SA3000</t>
  </si>
  <si>
    <t>ONYX - ONYX</t>
  </si>
  <si>
    <t>CRIMSON - CRIMSON</t>
  </si>
  <si>
    <t>ARTURO</t>
  </si>
  <si>
    <t>CALLE</t>
  </si>
  <si>
    <t>TOTAL ARTURO CALLE</t>
  </si>
  <si>
    <t>1LC038</t>
  </si>
  <si>
    <t xml:space="preserve">BLACK               </t>
  </si>
  <si>
    <t>A47463N</t>
  </si>
  <si>
    <t xml:space="preserve">BLUE NIGHTS         </t>
  </si>
  <si>
    <t>GALE - GALE GREY</t>
  </si>
  <si>
    <t>PSYCHO</t>
  </si>
  <si>
    <t>BUNNY</t>
  </si>
  <si>
    <t>FERNWOOD - FERNWOOD</t>
  </si>
  <si>
    <t>000SA0010</t>
  </si>
  <si>
    <t>261SA0032</t>
  </si>
  <si>
    <t>000SA0007</t>
  </si>
  <si>
    <t>000SA0000</t>
  </si>
  <si>
    <t>4602524962</t>
  </si>
  <si>
    <t>ARE 300 - ARE 300</t>
  </si>
  <si>
    <t>Repo</t>
  </si>
  <si>
    <t>000SA0009</t>
  </si>
  <si>
    <t>251SA3000</t>
  </si>
  <si>
    <t>K558 - OLIVE DUSK</t>
  </si>
  <si>
    <t>K576 - COASTAL CRIMSON</t>
  </si>
  <si>
    <t>K707 - Rocks Blue</t>
  </si>
  <si>
    <t>L174 - Brackish Blue</t>
  </si>
  <si>
    <t>1G013609</t>
  </si>
  <si>
    <t>L867 - RWB BANNER STRIPE</t>
  </si>
  <si>
    <t>Total 1G013609</t>
  </si>
  <si>
    <t>MAUVE ORCHID - MAUVE ORCHID</t>
  </si>
  <si>
    <t>POWDER BLUE - POWDER BLUE</t>
  </si>
  <si>
    <t xml:space="preserve">NAVY                </t>
  </si>
  <si>
    <t>4483 - BAHAMA BREEZE</t>
  </si>
  <si>
    <t>6V1236</t>
  </si>
  <si>
    <t>0959 - Cutty Pink</t>
  </si>
  <si>
    <t>C410 - Bleached Aqua</t>
  </si>
  <si>
    <t>G425 - SERENITY BLUE</t>
  </si>
  <si>
    <t>Total 6V1236</t>
  </si>
  <si>
    <t>Total 10156341</t>
  </si>
  <si>
    <t>2do despacho</t>
  </si>
  <si>
    <t>A47059</t>
  </si>
  <si>
    <t>4602618396</t>
  </si>
  <si>
    <t>4602567231</t>
  </si>
  <si>
    <t>CHEVIGNON</t>
  </si>
  <si>
    <t>640C020</t>
  </si>
  <si>
    <t>NEGRO PURO ULTRAOSCU</t>
  </si>
  <si>
    <t>000SA0005</t>
  </si>
  <si>
    <t>0406 - Blue Blazer</t>
  </si>
  <si>
    <t xml:space="preserve">  </t>
  </si>
  <si>
    <t xml:space="preserve">ME0XK63 </t>
  </si>
  <si>
    <t>NAV - NAVY</t>
  </si>
  <si>
    <t>CRIQUET</t>
  </si>
  <si>
    <t>M-KNIT-057</t>
  </si>
  <si>
    <t>TH260123-PERF</t>
  </si>
  <si>
    <t>Medieval Blue - Medieval Blue</t>
  </si>
  <si>
    <t>TOTAL CRIQUET</t>
  </si>
  <si>
    <t>A47875</t>
  </si>
  <si>
    <t>4602567244</t>
  </si>
  <si>
    <t>4602567281</t>
  </si>
  <si>
    <t>A48185</t>
  </si>
  <si>
    <t>363330</t>
  </si>
  <si>
    <t>4602567247</t>
  </si>
  <si>
    <t>TOTAL PSYCHO BUNNY</t>
  </si>
  <si>
    <t>MT0100198</t>
  </si>
  <si>
    <t>419392_BULK</t>
  </si>
  <si>
    <t>BT0100037</t>
  </si>
  <si>
    <t>420002_BULK</t>
  </si>
  <si>
    <t>MF26XK63</t>
  </si>
  <si>
    <t>LMOCH - LIGHT MOCHA</t>
  </si>
  <si>
    <t>PEACH - PEACH</t>
  </si>
  <si>
    <t>GREEN - GREEN</t>
  </si>
  <si>
    <t>Lavender Aura/Windwa - Lavender Aura/Windward</t>
  </si>
  <si>
    <t>Navy Tonal - Navy Tonal</t>
  </si>
  <si>
    <t>White/Nantucket/Rivi - White/Nantucket/RivieraBlue</t>
  </si>
  <si>
    <t>SAGE GREEN - SAGE GREEN</t>
  </si>
  <si>
    <t>BLACK - BLACK</t>
  </si>
  <si>
    <t>CHARCOAL HEATHER - CHARCOAL HEATHER</t>
  </si>
  <si>
    <t>WHITE/BLUE/LIGHTBLUE - WHITE/BLUE/LIGHTBLUE</t>
  </si>
  <si>
    <t>NAVY/TONAL NAVY/LT. - NAVY/TONAL NAVY/LT. BLUE</t>
  </si>
  <si>
    <t>HEATHER NAVY - HEATHER NAVY</t>
  </si>
  <si>
    <t>RIVIERA BLUE - RIVIERA BLUE</t>
  </si>
  <si>
    <t>BLUE BREEZE/ORCHID S - BLUE BREEZE/ORCHID SMOKE</t>
  </si>
  <si>
    <t>TH251212-PERF</t>
  </si>
  <si>
    <t>Pineneedle/Dahlia Pu - Pineneedle/Dahlia Purple</t>
  </si>
  <si>
    <t>261SA0016</t>
  </si>
  <si>
    <t>LIGHT GRAY - LIGHT GRAY</t>
  </si>
  <si>
    <t>221SA0004</t>
  </si>
  <si>
    <t>3G010100</t>
  </si>
  <si>
    <t>L156 - COASTAL CRIMSON</t>
  </si>
  <si>
    <t>L157 - RIPTIDE BLUE</t>
  </si>
  <si>
    <t>Total 3G010100</t>
  </si>
  <si>
    <t>3G010130</t>
  </si>
  <si>
    <t>Total 3G010130</t>
  </si>
  <si>
    <t>3G010618</t>
  </si>
  <si>
    <t>Total 3G010618</t>
  </si>
  <si>
    <t>3G010648</t>
  </si>
  <si>
    <t>L605 - BALL TOSS MICRO</t>
  </si>
  <si>
    <t>L567 - CROSSED WHALE DOT</t>
  </si>
  <si>
    <t>Total 3G010648</t>
  </si>
  <si>
    <t>3V012921</t>
  </si>
  <si>
    <t>Total 3V012921</t>
  </si>
  <si>
    <t>1G013785</t>
  </si>
  <si>
    <t>L710 - BREAKER/MOONSHINE</t>
  </si>
  <si>
    <t>Total 1G013785</t>
  </si>
  <si>
    <t>0039 - Grey Heather</t>
  </si>
  <si>
    <t>1V024854</t>
  </si>
  <si>
    <t>Total 1V024854</t>
  </si>
  <si>
    <t>1V025482</t>
  </si>
  <si>
    <t>Total 1V025482</t>
  </si>
  <si>
    <t>2V003413</t>
  </si>
  <si>
    <t>Total 2V003413</t>
  </si>
  <si>
    <t>2V003415</t>
  </si>
  <si>
    <t>Total 2V003415</t>
  </si>
  <si>
    <t>L572 - BLUE PALMETTO</t>
  </si>
  <si>
    <t>0987 - Summer Evening</t>
  </si>
  <si>
    <t>CUSTOM</t>
  </si>
  <si>
    <t>3G010175</t>
  </si>
  <si>
    <t>Total 3G010175</t>
  </si>
  <si>
    <t>M444 - FIELD GOALS</t>
  </si>
  <si>
    <t>1V014049</t>
  </si>
  <si>
    <t>Total 1V014049</t>
  </si>
  <si>
    <t>1G010159</t>
  </si>
  <si>
    <t>6789 - OCEAN BREEZE TEJ</t>
  </si>
  <si>
    <t>M565 - CRIMSON / BLUE DEPTH</t>
  </si>
  <si>
    <t>6790 - YACHT BLUE TEJEDA</t>
  </si>
  <si>
    <t>Total 1G010159</t>
  </si>
  <si>
    <t>3193 - OCEAN BREEZE</t>
  </si>
  <si>
    <t>3194 - LIGHTHOUSE RED</t>
  </si>
  <si>
    <t>7813 - WHITE CAP/TEJEDA</t>
  </si>
  <si>
    <t>7815 - WHITE CAP/KINGFISHER</t>
  </si>
  <si>
    <t>L254 - WC/MMT</t>
  </si>
  <si>
    <t>0588 - BLUE DEPTH</t>
  </si>
  <si>
    <t>4497 - ASH GRAY</t>
  </si>
  <si>
    <t>AZU 780 - AZU 780</t>
  </si>
  <si>
    <t>1V026069</t>
  </si>
  <si>
    <t>Total 1V026069</t>
  </si>
  <si>
    <t>3V015667</t>
  </si>
  <si>
    <t>Total 3V015667</t>
  </si>
  <si>
    <t>3V015668</t>
  </si>
  <si>
    <t>Total 3V015668</t>
  </si>
  <si>
    <t>3V015669</t>
  </si>
  <si>
    <t>Total 3V015669</t>
  </si>
  <si>
    <t>3V015670</t>
  </si>
  <si>
    <t>Total 3V015670</t>
  </si>
  <si>
    <t>3V015671</t>
  </si>
  <si>
    <t>Total 3V015671</t>
  </si>
  <si>
    <t>5941 - BLUE DEPTH TEJEDA</t>
  </si>
  <si>
    <t>8229 - STRIPE WHITE CAP</t>
  </si>
  <si>
    <t>L697 - BREAKER BLUE</t>
  </si>
  <si>
    <t>L700 - RHODODENDRON</t>
  </si>
  <si>
    <t>1G013413</t>
  </si>
  <si>
    <t>J666 - TEE COCKTAILS WHITE</t>
  </si>
  <si>
    <t>L576 - CROSSED GOLF BALL</t>
  </si>
  <si>
    <t>L659 - ON THE ROCKS</t>
  </si>
  <si>
    <t>Total 1G013413</t>
  </si>
  <si>
    <t>3G010835</t>
  </si>
  <si>
    <t>Total 3G010835</t>
  </si>
  <si>
    <t>H&amp;B</t>
  </si>
  <si>
    <t>HGR - Heathered Gray</t>
  </si>
  <si>
    <t>Total 101442</t>
  </si>
  <si>
    <t>Total 101447</t>
  </si>
  <si>
    <t>NAR 240 - NAR 240</t>
  </si>
  <si>
    <t>ROS 590 - ROS 590</t>
  </si>
  <si>
    <t>VER 800 - VER 800</t>
  </si>
  <si>
    <t>Total 10155988</t>
  </si>
  <si>
    <t>AZU 770 - AZU 770</t>
  </si>
  <si>
    <t>Total 10156006</t>
  </si>
  <si>
    <t>A48150</t>
  </si>
  <si>
    <t>4602524973</t>
  </si>
  <si>
    <t>TM1WW001</t>
  </si>
  <si>
    <t>4602560367(1301325)</t>
  </si>
  <si>
    <t xml:space="preserve">QUIET SHADE GREY    </t>
  </si>
  <si>
    <t>TM1MU411</t>
  </si>
  <si>
    <t>4602560371(1301311)</t>
  </si>
  <si>
    <t>4602537254(1298373)</t>
  </si>
  <si>
    <t>A47020</t>
  </si>
  <si>
    <t>4602618407</t>
  </si>
  <si>
    <t>A47470N</t>
  </si>
  <si>
    <t>4602524968</t>
  </si>
  <si>
    <t>MIDNIGHT HEATHER - MIDNIGHT HEATHER</t>
  </si>
  <si>
    <t>SMOKE - SMOKE</t>
  </si>
  <si>
    <t>2DO PARCIAL</t>
  </si>
  <si>
    <t>1ER PARCIAL</t>
  </si>
  <si>
    <t>PETER  M.</t>
  </si>
  <si>
    <t>Po hija</t>
  </si>
  <si>
    <t>419392</t>
  </si>
  <si>
    <t>420003</t>
  </si>
  <si>
    <t>420100</t>
  </si>
  <si>
    <t>A47469</t>
  </si>
  <si>
    <t>4602537988</t>
  </si>
  <si>
    <t xml:space="preserve">HEATHER GREY        </t>
  </si>
  <si>
    <t>420002</t>
  </si>
  <si>
    <t>420098</t>
  </si>
  <si>
    <t>4602526763</t>
  </si>
  <si>
    <t xml:space="preserve">WITHERED ROSE       </t>
  </si>
  <si>
    <t xml:space="preserve">Cloudwash           </t>
  </si>
  <si>
    <t>A47372</t>
  </si>
  <si>
    <t>4602524964</t>
  </si>
  <si>
    <t>A47001</t>
  </si>
  <si>
    <t>4602656393</t>
  </si>
  <si>
    <t>A47002</t>
  </si>
  <si>
    <t>4602656394</t>
  </si>
  <si>
    <t xml:space="preserve">MIZZEN+MAIN  </t>
  </si>
  <si>
    <t xml:space="preserve">TOTAL MIZZEN+MAIN  </t>
  </si>
  <si>
    <t>TTS17</t>
  </si>
  <si>
    <t>PO0004951</t>
  </si>
  <si>
    <t>PO0004952</t>
  </si>
  <si>
    <t>PO0004954</t>
  </si>
  <si>
    <t>PO0004956</t>
  </si>
  <si>
    <t xml:space="preserve">OLIVE               </t>
  </si>
  <si>
    <t>PO0004957</t>
  </si>
  <si>
    <t xml:space="preserve">MOCHA               </t>
  </si>
  <si>
    <t>TTS19</t>
  </si>
  <si>
    <t>PO0004953</t>
  </si>
  <si>
    <t xml:space="preserve">OAT HEATHER         </t>
  </si>
  <si>
    <t>PO0004955</t>
  </si>
  <si>
    <t xml:space="preserve">DARK SLATE HEATHER  </t>
  </si>
  <si>
    <t>TTS22</t>
  </si>
  <si>
    <t>PO0004958</t>
  </si>
  <si>
    <t>PO0004960</t>
  </si>
  <si>
    <t>PO0005035</t>
  </si>
  <si>
    <t>TTS24</t>
  </si>
  <si>
    <t>PO0004959</t>
  </si>
  <si>
    <t>PO0004961</t>
  </si>
  <si>
    <t>1G011055</t>
  </si>
  <si>
    <t>Total 1G011055</t>
  </si>
  <si>
    <t>1G010673</t>
  </si>
  <si>
    <t>Total 1G010673</t>
  </si>
  <si>
    <t>1G013450</t>
  </si>
  <si>
    <t>Total 1G013450</t>
  </si>
  <si>
    <t>2V002461</t>
  </si>
  <si>
    <t>Total 2V002461</t>
  </si>
  <si>
    <t>J769 - Pink Drink</t>
  </si>
  <si>
    <t>5928 - RESORT RED TEJEDA</t>
  </si>
  <si>
    <t>3V015440</t>
  </si>
  <si>
    <t>Total 3V015440</t>
  </si>
  <si>
    <t>3V0212</t>
  </si>
  <si>
    <t>Total 3V0212</t>
  </si>
  <si>
    <t>1G011854</t>
  </si>
  <si>
    <t>Total 1G011854</t>
  </si>
  <si>
    <t>1G012850</t>
  </si>
  <si>
    <t>Total 1G012850</t>
  </si>
  <si>
    <t>5942 - STRIPE HAMMERHEAD</t>
  </si>
  <si>
    <t>1G012869</t>
  </si>
  <si>
    <t>Total 1G012869</t>
  </si>
  <si>
    <t>1G012899</t>
  </si>
  <si>
    <t>Total 1G012899</t>
  </si>
  <si>
    <t>1G012910</t>
  </si>
  <si>
    <t>Total 1G012910</t>
  </si>
  <si>
    <t>1G013558</t>
  </si>
  <si>
    <t>Total 1G013558</t>
  </si>
  <si>
    <t>1G013783</t>
  </si>
  <si>
    <t>Total 1G013783</t>
  </si>
  <si>
    <t>1G014141</t>
  </si>
  <si>
    <t>Total 1G014141</t>
  </si>
  <si>
    <t>1G014143</t>
  </si>
  <si>
    <t>Total 1G014143</t>
  </si>
  <si>
    <t>1G014144</t>
  </si>
  <si>
    <t>Total 1G014144</t>
  </si>
  <si>
    <t>B349 - STP J BLACK TEJ/WHT</t>
  </si>
  <si>
    <t>L698 - COASTAL CRIMSON</t>
  </si>
  <si>
    <t>L924 - OLIVE DUSK/WHITE</t>
  </si>
  <si>
    <t>L701 - LAVENDER SKY</t>
  </si>
  <si>
    <t>1G010880</t>
  </si>
  <si>
    <t>Total 1G010880</t>
  </si>
  <si>
    <t>1G012895</t>
  </si>
  <si>
    <t>Total 1G012895</t>
  </si>
  <si>
    <t>1G013138</t>
  </si>
  <si>
    <t>K251 - WHALE DOT OBREEZE/TB</t>
  </si>
  <si>
    <t>L570 - MOONSHINE PALMETTO</t>
  </si>
  <si>
    <t>L582 - OYSTER BAR MICRO</t>
  </si>
  <si>
    <t>Total 1G013138</t>
  </si>
  <si>
    <t>K605 - Shell Grey</t>
  </si>
  <si>
    <t>2V000140</t>
  </si>
  <si>
    <t>0686 - Flamingo</t>
  </si>
  <si>
    <t>Total 2V000140</t>
  </si>
  <si>
    <t>L688 - FLAG FOOTBALL MICRO</t>
  </si>
  <si>
    <t>1V015884</t>
  </si>
  <si>
    <t>Total 1V015884</t>
  </si>
  <si>
    <t>2V003387</t>
  </si>
  <si>
    <t>Total 2V003387</t>
  </si>
  <si>
    <t>3V013204</t>
  </si>
  <si>
    <t>Total 3V013204</t>
  </si>
  <si>
    <t>1G012855</t>
  </si>
  <si>
    <t>Total 1G012855</t>
  </si>
  <si>
    <t>1G013764</t>
  </si>
  <si>
    <t>Total 1G013764</t>
  </si>
  <si>
    <t>1G014037</t>
  </si>
  <si>
    <t>Total 1G014037</t>
  </si>
  <si>
    <t>Pigmento</t>
  </si>
  <si>
    <t>L709 - LAVENDER / MOONSHINE</t>
  </si>
  <si>
    <t>1G010783</t>
  </si>
  <si>
    <t>Total 1G010783</t>
  </si>
  <si>
    <t>0002 - Jet Black</t>
  </si>
  <si>
    <t>0421 - Breaker Blue</t>
  </si>
  <si>
    <t>0976 - DEEP BAY</t>
  </si>
  <si>
    <t>3084 - PINK CLOUD</t>
  </si>
  <si>
    <t>L574 - SHRIMP MICRO</t>
  </si>
  <si>
    <t>M828 - CHARLESTON COCKTAILS</t>
  </si>
  <si>
    <t>1G013419</t>
  </si>
  <si>
    <t>M567 - BLUE MICRO LURES</t>
  </si>
  <si>
    <t>Total 1G013419</t>
  </si>
  <si>
    <t>1G013682</t>
  </si>
  <si>
    <t>Total 1G013682</t>
  </si>
  <si>
    <t>1G013895</t>
  </si>
  <si>
    <t>L720 - BLUE KIAWAH STRIPE</t>
  </si>
  <si>
    <t>Total 1G013895</t>
  </si>
  <si>
    <t>1G014145</t>
  </si>
  <si>
    <t>M529 - WHITE CAP</t>
  </si>
  <si>
    <t>Total 1G014145</t>
  </si>
  <si>
    <t>1G014146</t>
  </si>
  <si>
    <t>M795 - RC TX FLAG RWB</t>
  </si>
  <si>
    <t>Total 1G014146</t>
  </si>
  <si>
    <t>1V014050</t>
  </si>
  <si>
    <t>5063312 5066836</t>
  </si>
  <si>
    <t>Total 1V014050</t>
  </si>
  <si>
    <t>1V024526</t>
  </si>
  <si>
    <t>C276 - NAUTICAL NAVY 2</t>
  </si>
  <si>
    <t>Total 1V024526</t>
  </si>
  <si>
    <t>1V024527</t>
  </si>
  <si>
    <t>Total 1V024527</t>
  </si>
  <si>
    <t>1V024528</t>
  </si>
  <si>
    <t>0480 - Nautical navy</t>
  </si>
  <si>
    <t>Total 1V024528</t>
  </si>
  <si>
    <t>1V024841</t>
  </si>
  <si>
    <t>Total 1V024841</t>
  </si>
  <si>
    <t>1V024863</t>
  </si>
  <si>
    <t>Total 1V024863</t>
  </si>
  <si>
    <t>1V024873</t>
  </si>
  <si>
    <t>Total 1V024873</t>
  </si>
  <si>
    <t>1V024908</t>
  </si>
  <si>
    <t>L444 - Seacliff Blue Hint</t>
  </si>
  <si>
    <t>Total 1V024908</t>
  </si>
  <si>
    <t>1V024922</t>
  </si>
  <si>
    <t>Total 1V024922</t>
  </si>
  <si>
    <t>1V024924</t>
  </si>
  <si>
    <t>Total 1V024924</t>
  </si>
  <si>
    <t>1V024933</t>
  </si>
  <si>
    <t>Total 1V024933</t>
  </si>
  <si>
    <t>1V024934</t>
  </si>
  <si>
    <t>Total 1V024934</t>
  </si>
  <si>
    <t>1V024939</t>
  </si>
  <si>
    <t>Total 1V024939</t>
  </si>
  <si>
    <t>1V024940</t>
  </si>
  <si>
    <t>Total 1V024940</t>
  </si>
  <si>
    <t>1V025529</t>
  </si>
  <si>
    <t>Total 1V025529</t>
  </si>
  <si>
    <t>1V025530</t>
  </si>
  <si>
    <t>Total 1V025530</t>
  </si>
  <si>
    <t>1V025707</t>
  </si>
  <si>
    <t>3046 - Nautical Orange</t>
  </si>
  <si>
    <t>Total 1V025707</t>
  </si>
  <si>
    <t>1V025715</t>
  </si>
  <si>
    <t>Total 1V025715</t>
  </si>
  <si>
    <t>1V025892</t>
  </si>
  <si>
    <t>Total 1V025892</t>
  </si>
  <si>
    <t>K606 - LOWCOUNTRY LODEN</t>
  </si>
  <si>
    <t>2V003383</t>
  </si>
  <si>
    <t>Total 2V003383</t>
  </si>
  <si>
    <t>2V003393</t>
  </si>
  <si>
    <t>Total 2V003393</t>
  </si>
  <si>
    <t>3G010213</t>
  </si>
  <si>
    <t>3195 - HEATHERED ANTIGUA</t>
  </si>
  <si>
    <t>Total 3G010213</t>
  </si>
  <si>
    <t>3G010794</t>
  </si>
  <si>
    <t>L771 - WHITE CAP/JAKE BLUE</t>
  </si>
  <si>
    <t>L793 - WHITE/OLIVE DUSK</t>
  </si>
  <si>
    <t>Total 3G010794</t>
  </si>
  <si>
    <t>3G010833</t>
  </si>
  <si>
    <t>Total 3G010833</t>
  </si>
  <si>
    <t>3V015040</t>
  </si>
  <si>
    <t>Total 3V015040</t>
  </si>
  <si>
    <t>3V015041</t>
  </si>
  <si>
    <t>Total 3V015041</t>
  </si>
  <si>
    <t>3V015043</t>
  </si>
  <si>
    <t>Total 3V015043</t>
  </si>
  <si>
    <t>3V015223</t>
  </si>
  <si>
    <t>Total 3V015223</t>
  </si>
  <si>
    <t>3V015224</t>
  </si>
  <si>
    <t>Total 3V015224</t>
  </si>
  <si>
    <t>3V015254</t>
  </si>
  <si>
    <t>Total 3V015254</t>
  </si>
  <si>
    <t>3V015259</t>
  </si>
  <si>
    <t>Total 3V015259</t>
  </si>
  <si>
    <t>3V015442</t>
  </si>
  <si>
    <t>Total 3V015442</t>
  </si>
  <si>
    <t>K578 - Light Neon Sunrise</t>
  </si>
  <si>
    <t>L527 - Blue Heron</t>
  </si>
  <si>
    <t>6V0113</t>
  </si>
  <si>
    <t>Total 6V0113</t>
  </si>
  <si>
    <t>7V002114</t>
  </si>
  <si>
    <t>5192 - LAVENDER SKY</t>
  </si>
  <si>
    <t>Total 7V002114</t>
  </si>
  <si>
    <t>7V002544</t>
  </si>
  <si>
    <t>Total 7V002544</t>
  </si>
  <si>
    <t>7V002547</t>
  </si>
  <si>
    <t>Total 7V002547</t>
  </si>
  <si>
    <t>1G011846</t>
  </si>
  <si>
    <t>Total 1G011846</t>
  </si>
  <si>
    <t>1G011862</t>
  </si>
  <si>
    <t>Total 1G011862</t>
  </si>
  <si>
    <t>1G013557</t>
  </si>
  <si>
    <t>Total 1G013557</t>
  </si>
  <si>
    <t>1G013582</t>
  </si>
  <si>
    <t>Total 1G013582</t>
  </si>
  <si>
    <t>1G013677</t>
  </si>
  <si>
    <t>Total 1G013677</t>
  </si>
  <si>
    <t>1G013679</t>
  </si>
  <si>
    <t>Total 1G013679</t>
  </si>
  <si>
    <t>1G013684</t>
  </si>
  <si>
    <t>Total 1G013684</t>
  </si>
  <si>
    <t>1G013685</t>
  </si>
  <si>
    <t>Total 1G013685</t>
  </si>
  <si>
    <t>1G013687</t>
  </si>
  <si>
    <t>Total 1G013687</t>
  </si>
  <si>
    <t>1G013689</t>
  </si>
  <si>
    <t>Total 1G013689</t>
  </si>
  <si>
    <t>1G013690</t>
  </si>
  <si>
    <t>Total 1G013690</t>
  </si>
  <si>
    <t>1G013691</t>
  </si>
  <si>
    <t>Total 1G013691</t>
  </si>
  <si>
    <t>1G013692</t>
  </si>
  <si>
    <t>Total 1G013692</t>
  </si>
  <si>
    <t>1G013716</t>
  </si>
  <si>
    <t>Total 1G013716</t>
  </si>
  <si>
    <t>1G013786</t>
  </si>
  <si>
    <t>Total 1G013786</t>
  </si>
  <si>
    <t>1G013804</t>
  </si>
  <si>
    <t>Total 1G013804</t>
  </si>
  <si>
    <t>1G013807</t>
  </si>
  <si>
    <t>Total 1G013807</t>
  </si>
  <si>
    <t>1G013810</t>
  </si>
  <si>
    <t>Total 1G013810</t>
  </si>
  <si>
    <t>1G013913</t>
  </si>
  <si>
    <t>Total 1G013913</t>
  </si>
  <si>
    <t>1G014022</t>
  </si>
  <si>
    <t>Total 1G014022</t>
  </si>
  <si>
    <t>1G014025</t>
  </si>
  <si>
    <t>Total 1G014025</t>
  </si>
  <si>
    <t>1G014026</t>
  </si>
  <si>
    <t>Total 1G014026</t>
  </si>
  <si>
    <t>1G014032</t>
  </si>
  <si>
    <t>Total 1G014032</t>
  </si>
  <si>
    <t>1G014035</t>
  </si>
  <si>
    <t>Total 1G014035</t>
  </si>
  <si>
    <t>1G014079</t>
  </si>
  <si>
    <t>Total 1G014079</t>
  </si>
  <si>
    <t>1G014080</t>
  </si>
  <si>
    <t>Total 1G014080</t>
  </si>
  <si>
    <t>1G014124</t>
  </si>
  <si>
    <t>Total 1G014124</t>
  </si>
  <si>
    <t>1G014153</t>
  </si>
  <si>
    <t>Total 1G014153</t>
  </si>
  <si>
    <t>3G010732</t>
  </si>
  <si>
    <t>Total 3G010732</t>
  </si>
  <si>
    <t>3G010755</t>
  </si>
  <si>
    <t>Total 3G010755</t>
  </si>
  <si>
    <t>3G010756</t>
  </si>
  <si>
    <t>Total 3G010756</t>
  </si>
  <si>
    <t>3G010758</t>
  </si>
  <si>
    <t>Total 3G010758</t>
  </si>
  <si>
    <t>3G010759</t>
  </si>
  <si>
    <t>Total 3G010759</t>
  </si>
  <si>
    <t>3G010760</t>
  </si>
  <si>
    <t>Total 3G010760</t>
  </si>
  <si>
    <t>3G010762</t>
  </si>
  <si>
    <t>Total 3G010762</t>
  </si>
  <si>
    <t>3G010763</t>
  </si>
  <si>
    <t>Total 3G010763</t>
  </si>
  <si>
    <t>3G010774</t>
  </si>
  <si>
    <t>Total 3G010774</t>
  </si>
  <si>
    <t>3G010813</t>
  </si>
  <si>
    <t>Total 3G010813</t>
  </si>
  <si>
    <t>3G010815</t>
  </si>
  <si>
    <t>Total 3G010815</t>
  </si>
  <si>
    <t>3G010836</t>
  </si>
  <si>
    <t>Total 3G010836</t>
  </si>
  <si>
    <t>3G010837</t>
  </si>
  <si>
    <t>Total 3G010837</t>
  </si>
  <si>
    <t>REPO</t>
  </si>
  <si>
    <t>HATL - Heathered Atlantic</t>
  </si>
  <si>
    <t>Total 101624</t>
  </si>
  <si>
    <t>Total 101933</t>
  </si>
  <si>
    <t>HCSP - Heathered California Spruce</t>
  </si>
  <si>
    <t>Total 103371</t>
  </si>
  <si>
    <t>HPBL - Heathered Pacific Blue</t>
  </si>
  <si>
    <t>Total 103376</t>
  </si>
  <si>
    <t>TOTAL H&amp;B</t>
  </si>
  <si>
    <t>1er despacho</t>
  </si>
  <si>
    <t>A47062</t>
  </si>
  <si>
    <t>4602656376</t>
  </si>
  <si>
    <t xml:space="preserve">ETHER               </t>
  </si>
  <si>
    <t>A47063</t>
  </si>
  <si>
    <t>4602656377</t>
  </si>
  <si>
    <t>A47482</t>
  </si>
  <si>
    <t>4602656392</t>
  </si>
  <si>
    <t xml:space="preserve">Pompeian Red        </t>
  </si>
  <si>
    <t>A48288</t>
  </si>
  <si>
    <t>4602656396</t>
  </si>
  <si>
    <t>4602657272</t>
  </si>
  <si>
    <t>A48109</t>
  </si>
  <si>
    <t>4602618404</t>
  </si>
  <si>
    <t>A48109N</t>
  </si>
  <si>
    <t>4602618405</t>
  </si>
  <si>
    <t>0400006779</t>
  </si>
  <si>
    <t xml:space="preserve">BLANCO 0 CLARO      </t>
  </si>
  <si>
    <t>EDGARTOWN</t>
  </si>
  <si>
    <t>1° Parcial</t>
  </si>
  <si>
    <t>2V003579</t>
  </si>
  <si>
    <t>Total 2V003579</t>
  </si>
  <si>
    <t>M564 - BLUE HERON / B DEPTH</t>
  </si>
  <si>
    <t>1G014147</t>
  </si>
  <si>
    <t>M843 - WHITE CAP</t>
  </si>
  <si>
    <t>Total 1G014147</t>
  </si>
  <si>
    <t>1G014148</t>
  </si>
  <si>
    <t>M857 - WHITE CAP</t>
  </si>
  <si>
    <t>Total 1G014148</t>
  </si>
  <si>
    <t>L817 - WHITE CAP / NAVY</t>
  </si>
  <si>
    <t>Total 101625</t>
  </si>
  <si>
    <t>HDWD - Heathered Driftwood</t>
  </si>
  <si>
    <t>Total 103374</t>
  </si>
  <si>
    <t>Total 103380</t>
  </si>
  <si>
    <t>AMA 120 - AMA 120</t>
  </si>
  <si>
    <t>AZU 790 - AZU 790</t>
  </si>
  <si>
    <t>ROS 540 - ROS 540</t>
  </si>
  <si>
    <t>VER 880 - VER 880</t>
  </si>
  <si>
    <t>AZU 710 - AZU 710</t>
  </si>
  <si>
    <t>VIN 499 - VIN 499</t>
  </si>
  <si>
    <t>Total 10156342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</si>
</sst>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9.5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3" borderId="0" xfId="0" applyFill="1"/>
    <xf numFmtId="0" fontId="2" fillId="4" borderId="5" xfId="0" applyFont="1" applyFill="1" applyBorder="1" applyAlignment="1">
      <alignment horizontal="center" vertical="center" wrapText="1" shrinkToFit="1"/>
    </xf>
    <xf numFmtId="0" fontId="3" fillId="4" borderId="5" xfId="0" applyFont="1" applyFill="1" applyBorder="1" applyAlignment="1">
      <alignment horizontal="center" vertical="center" wrapText="1" shrinkToFit="1"/>
    </xf>
    <xf numFmtId="3" fontId="2" fillId="4" borderId="5" xfId="0" applyNumberFormat="1" applyFont="1" applyFill="1" applyBorder="1" applyAlignment="1">
      <alignment horizontal="center" vertical="center" wrapText="1" shrinkToFit="1"/>
    </xf>
    <xf numFmtId="1" fontId="2" fillId="4" borderId="5" xfId="0" applyNumberFormat="1" applyFont="1" applyFill="1" applyBorder="1" applyAlignment="1">
      <alignment horizontal="center" vertical="center" wrapText="1" shrinkToFit="1"/>
    </xf>
    <xf numFmtId="0" fontId="0" fillId="3" borderId="6" xfId="0" applyFill="1" applyBorder="1"/>
    <xf numFmtId="0" fontId="4" fillId="3" borderId="7" xfId="0" applyFont="1" applyFill="1" applyBorder="1"/>
    <xf numFmtId="0" fontId="4" fillId="3" borderId="8" xfId="0" applyFont="1" applyFill="1" applyBorder="1" applyAlignment="1">
      <alignment horizontal="left"/>
    </xf>
    <xf numFmtId="0" fontId="4" fillId="3" borderId="8" xfId="0" applyFont="1" applyFill="1" applyBorder="1"/>
    <xf numFmtId="3" fontId="4" fillId="3" borderId="5" xfId="0" applyNumberFormat="1" applyFont="1" applyFill="1" applyBorder="1" applyAlignment="1">
      <alignment horizontal="center"/>
    </xf>
    <xf numFmtId="16" fontId="4" fillId="3" borderId="5" xfId="0" applyNumberFormat="1" applyFont="1" applyFill="1" applyBorder="1"/>
    <xf numFmtId="0" fontId="4" fillId="3" borderId="4" xfId="0" applyFont="1" applyFill="1" applyBorder="1"/>
    <xf numFmtId="49" fontId="4" fillId="0" borderId="5" xfId="0" applyNumberFormat="1" applyFont="1" applyBorder="1"/>
    <xf numFmtId="16" fontId="4" fillId="0" borderId="7" xfId="0" applyNumberFormat="1" applyFont="1" applyBorder="1"/>
    <xf numFmtId="0" fontId="4" fillId="3" borderId="9" xfId="0" applyFont="1" applyFill="1" applyBorder="1"/>
    <xf numFmtId="0" fontId="5" fillId="5" borderId="10" xfId="0" applyFont="1" applyFill="1" applyBorder="1"/>
    <xf numFmtId="0" fontId="6" fillId="5" borderId="11" xfId="0" applyFont="1" applyFill="1" applyBorder="1" applyAlignment="1">
      <alignment horizontal="left"/>
    </xf>
    <xf numFmtId="0" fontId="5" fillId="5" borderId="3" xfId="0" applyFont="1" applyFill="1" applyBorder="1"/>
    <xf numFmtId="3" fontId="5" fillId="5" borderId="5" xfId="0" applyNumberFormat="1" applyFont="1" applyFill="1" applyBorder="1" applyAlignment="1">
      <alignment horizontal="center"/>
    </xf>
    <xf numFmtId="0" fontId="4" fillId="0" borderId="5" xfId="0" applyFont="1" applyBorder="1"/>
    <xf numFmtId="0" fontId="4" fillId="3" borderId="10" xfId="0" applyFont="1" applyFill="1" applyBorder="1"/>
    <xf numFmtId="0" fontId="5" fillId="6" borderId="10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3" fontId="5" fillId="6" borderId="7" xfId="0" applyNumberFormat="1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4" fillId="3" borderId="6" xfId="0" applyFont="1" applyFill="1" applyBorder="1"/>
    <xf numFmtId="0" fontId="4" fillId="3" borderId="12" xfId="0" applyFont="1" applyFill="1" applyBorder="1" applyAlignment="1">
      <alignment horizontal="left"/>
    </xf>
    <xf numFmtId="0" fontId="0" fillId="3" borderId="7" xfId="0" applyFill="1" applyBorder="1"/>
    <xf numFmtId="3" fontId="0" fillId="3" borderId="0" xfId="0" applyNumberFormat="1" applyFill="1"/>
    <xf numFmtId="0" fontId="0" fillId="3" borderId="0" xfId="0" applyFill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49" fontId="7" fillId="0" borderId="5" xfId="0" applyNumberFormat="1" applyFont="1" applyBorder="1"/>
    <xf numFmtId="0" fontId="4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4" fillId="3" borderId="7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4" fillId="3" borderId="5" xfId="0" applyFont="1" applyFill="1" applyBorder="1"/>
    <xf numFmtId="0" fontId="4" fillId="3" borderId="3" xfId="0" applyFont="1" applyFill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13" xfId="0" applyFill="1" applyBorder="1"/>
    <xf numFmtId="0" fontId="4" fillId="3" borderId="3" xfId="0" applyFont="1" applyFill="1" applyBorder="1"/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9A11-3E40-48CF-9210-95AFA2B1EF93}">
  <dimension ref="B2:U185"/>
  <sheetViews>
    <sheetView tabSelected="1" zoomScale="70" zoomScaleNormal="70" workbookViewId="0">
      <selection activeCell="J3" sqref="J3"/>
    </sheetView>
  </sheetViews>
  <sheetFormatPr baseColWidth="10" defaultColWidth="11.453125" defaultRowHeight="14.5" x14ac:dyDescent="0.35"/>
  <cols>
    <col min="1" max="1" width="1.54296875" style="1" customWidth="1"/>
    <col min="2" max="2" width="9.7265625" style="1" customWidth="1"/>
    <col min="3" max="3" width="11.90625" style="26" customWidth="1"/>
    <col min="4" max="4" width="11.26953125" style="26" customWidth="1"/>
    <col min="5" max="5" width="21.1796875" style="1" customWidth="1"/>
    <col min="6" max="6" width="14" style="30" customWidth="1"/>
    <col min="7" max="7" width="11.453125" style="31"/>
    <col min="8" max="8" width="2.7265625" style="1" customWidth="1"/>
    <col min="9" max="9" width="10.6328125" style="1" customWidth="1"/>
    <col min="10" max="10" width="12.26953125" style="26" customWidth="1"/>
    <col min="11" max="11" width="13.7265625" style="26" customWidth="1"/>
    <col min="12" max="12" width="17.26953125" style="1" customWidth="1"/>
    <col min="13" max="13" width="14" style="30" customWidth="1"/>
    <col min="14" max="14" width="11.453125" style="1"/>
    <col min="15" max="15" width="1.7265625" style="1" customWidth="1"/>
    <col min="16" max="16" width="10.08984375" style="1" customWidth="1"/>
    <col min="17" max="17" width="11.6328125" style="26" customWidth="1"/>
    <col min="18" max="18" width="12.08984375" style="26" customWidth="1"/>
    <col min="19" max="19" width="17.26953125" style="1" customWidth="1"/>
    <col min="20" max="20" width="13" style="1" customWidth="1"/>
    <col min="21" max="16384" width="11.453125" style="1"/>
  </cols>
  <sheetData>
    <row r="2" spans="2:21" x14ac:dyDescent="0.35">
      <c r="B2" s="42" t="s">
        <v>0</v>
      </c>
      <c r="C2" s="43"/>
      <c r="D2" s="43"/>
      <c r="E2" s="43"/>
      <c r="F2" s="43"/>
      <c r="G2" s="44"/>
      <c r="I2" s="42" t="s">
        <v>0</v>
      </c>
      <c r="J2" s="43"/>
      <c r="K2" s="43"/>
      <c r="L2" s="43"/>
      <c r="M2" s="43"/>
      <c r="N2" s="44"/>
      <c r="P2" s="45" t="s">
        <v>0</v>
      </c>
      <c r="Q2" s="46"/>
      <c r="R2" s="46"/>
      <c r="S2" s="46"/>
      <c r="T2" s="46"/>
      <c r="U2" s="46"/>
    </row>
    <row r="4" spans="2:21" x14ac:dyDescent="0.35">
      <c r="B4" s="2" t="s">
        <v>1</v>
      </c>
      <c r="C4" s="2" t="s">
        <v>2</v>
      </c>
      <c r="D4" s="3" t="s">
        <v>3</v>
      </c>
      <c r="E4" s="2" t="s">
        <v>4</v>
      </c>
      <c r="F4" s="4" t="s">
        <v>5</v>
      </c>
      <c r="G4" s="5" t="s">
        <v>6</v>
      </c>
      <c r="I4" s="2" t="s">
        <v>1</v>
      </c>
      <c r="J4" s="2" t="s">
        <v>2</v>
      </c>
      <c r="K4" s="3" t="s">
        <v>3</v>
      </c>
      <c r="L4" s="2" t="s">
        <v>4</v>
      </c>
      <c r="M4" s="4" t="s">
        <v>5</v>
      </c>
      <c r="N4" s="5" t="s">
        <v>6</v>
      </c>
      <c r="P4" s="2" t="s">
        <v>1</v>
      </c>
      <c r="Q4" s="2" t="s">
        <v>2</v>
      </c>
      <c r="R4" s="3" t="s">
        <v>3</v>
      </c>
      <c r="S4" s="2" t="s">
        <v>4</v>
      </c>
      <c r="T4" s="4" t="s">
        <v>5</v>
      </c>
      <c r="U4" s="5" t="s">
        <v>6</v>
      </c>
    </row>
    <row r="5" spans="2:21" x14ac:dyDescent="0.35">
      <c r="B5" s="6" t="s">
        <v>7</v>
      </c>
      <c r="C5" s="7" t="s">
        <v>166</v>
      </c>
      <c r="D5" s="8">
        <v>5066895</v>
      </c>
      <c r="E5" s="9" t="s">
        <v>15</v>
      </c>
      <c r="F5" s="10">
        <v>200</v>
      </c>
      <c r="G5" s="11"/>
      <c r="I5" s="15" t="s">
        <v>8</v>
      </c>
      <c r="J5" s="34" t="s">
        <v>199</v>
      </c>
      <c r="K5" s="34" t="s">
        <v>200</v>
      </c>
      <c r="L5" s="13" t="s">
        <v>14</v>
      </c>
      <c r="M5" s="10">
        <v>300</v>
      </c>
      <c r="N5" s="14" t="s">
        <v>520</v>
      </c>
      <c r="P5" s="12" t="s">
        <v>18</v>
      </c>
      <c r="Q5" s="34">
        <v>41757</v>
      </c>
      <c r="R5" s="34">
        <v>1679607</v>
      </c>
      <c r="S5" s="13" t="s">
        <v>61</v>
      </c>
      <c r="T5" s="10">
        <v>600</v>
      </c>
      <c r="U5" s="14"/>
    </row>
    <row r="6" spans="2:21" x14ac:dyDescent="0.35">
      <c r="B6" s="6" t="s">
        <v>9</v>
      </c>
      <c r="C6" s="16" t="s">
        <v>167</v>
      </c>
      <c r="D6" s="17"/>
      <c r="E6" s="18"/>
      <c r="F6" s="19">
        <f>SUM(F5)</f>
        <v>200</v>
      </c>
      <c r="G6" s="20"/>
      <c r="I6" s="12"/>
      <c r="J6" s="34" t="s">
        <v>88</v>
      </c>
      <c r="K6" s="34" t="s">
        <v>90</v>
      </c>
      <c r="L6" s="13" t="s">
        <v>40</v>
      </c>
      <c r="M6" s="10">
        <v>660</v>
      </c>
      <c r="N6" s="14"/>
      <c r="P6" s="12"/>
      <c r="Q6" s="34">
        <v>41758</v>
      </c>
      <c r="R6" s="34">
        <v>1679607</v>
      </c>
      <c r="S6" s="13" t="s">
        <v>19</v>
      </c>
      <c r="T6" s="10">
        <v>600</v>
      </c>
      <c r="U6" s="14"/>
    </row>
    <row r="7" spans="2:21" x14ac:dyDescent="0.35">
      <c r="B7" s="6"/>
      <c r="C7" s="27" t="s">
        <v>127</v>
      </c>
      <c r="D7" s="28">
        <v>5066563</v>
      </c>
      <c r="E7" s="9" t="s">
        <v>128</v>
      </c>
      <c r="F7" s="10">
        <v>525</v>
      </c>
      <c r="G7" s="11"/>
      <c r="I7" s="12"/>
      <c r="J7" s="34" t="s">
        <v>88</v>
      </c>
      <c r="K7" s="34" t="s">
        <v>89</v>
      </c>
      <c r="L7" s="13" t="s">
        <v>40</v>
      </c>
      <c r="M7" s="10">
        <v>5974</v>
      </c>
      <c r="N7" s="14"/>
      <c r="P7" s="12"/>
      <c r="Q7" s="34">
        <v>41759</v>
      </c>
      <c r="R7" s="34">
        <v>1679607</v>
      </c>
      <c r="S7" s="13" t="s">
        <v>62</v>
      </c>
      <c r="T7" s="10">
        <v>600</v>
      </c>
      <c r="U7" s="14"/>
    </row>
    <row r="8" spans="2:21" x14ac:dyDescent="0.35">
      <c r="B8" s="6"/>
      <c r="C8" s="7"/>
      <c r="D8" s="8"/>
      <c r="E8" s="9" t="s">
        <v>150</v>
      </c>
      <c r="F8" s="10">
        <v>1535</v>
      </c>
      <c r="G8" s="11"/>
      <c r="I8" s="12"/>
      <c r="J8" s="34" t="s">
        <v>201</v>
      </c>
      <c r="K8" s="34" t="s">
        <v>202</v>
      </c>
      <c r="L8" s="13" t="s">
        <v>40</v>
      </c>
      <c r="M8" s="10">
        <v>552</v>
      </c>
      <c r="N8" s="14"/>
      <c r="P8" s="12"/>
      <c r="Q8" s="34">
        <v>40886</v>
      </c>
      <c r="R8" s="34">
        <v>1684302</v>
      </c>
      <c r="S8" s="13" t="s">
        <v>102</v>
      </c>
      <c r="T8" s="10">
        <v>800</v>
      </c>
      <c r="U8" s="14"/>
    </row>
    <row r="9" spans="2:21" x14ac:dyDescent="0.35">
      <c r="B9" s="6"/>
      <c r="C9" s="16" t="s">
        <v>130</v>
      </c>
      <c r="D9" s="17"/>
      <c r="E9" s="18"/>
      <c r="F9" s="19">
        <f>SUM(F7:F8)</f>
        <v>2060</v>
      </c>
      <c r="G9" s="20"/>
      <c r="I9" s="12"/>
      <c r="J9" s="34" t="s">
        <v>201</v>
      </c>
      <c r="K9" s="34" t="s">
        <v>202</v>
      </c>
      <c r="L9" s="13" t="s">
        <v>203</v>
      </c>
      <c r="M9" s="10">
        <v>552</v>
      </c>
      <c r="N9" s="14"/>
      <c r="P9" s="12"/>
      <c r="Q9" s="34">
        <v>40877</v>
      </c>
      <c r="R9" s="34">
        <v>1684302</v>
      </c>
      <c r="S9" s="13" t="s">
        <v>103</v>
      </c>
      <c r="T9" s="10">
        <v>1200</v>
      </c>
      <c r="U9" s="14"/>
    </row>
    <row r="10" spans="2:21" x14ac:dyDescent="0.35">
      <c r="B10" s="6"/>
      <c r="C10" s="7" t="s">
        <v>168</v>
      </c>
      <c r="D10" s="8">
        <v>5066900</v>
      </c>
      <c r="E10" s="9" t="s">
        <v>15</v>
      </c>
      <c r="F10" s="10">
        <v>240</v>
      </c>
      <c r="G10" s="11"/>
      <c r="I10" s="12"/>
      <c r="J10" s="34" t="s">
        <v>204</v>
      </c>
      <c r="K10" s="34" t="s">
        <v>205</v>
      </c>
      <c r="L10" s="13" t="s">
        <v>38</v>
      </c>
      <c r="M10" s="10">
        <v>1032</v>
      </c>
      <c r="N10" s="14"/>
      <c r="P10" s="12"/>
      <c r="Q10" s="34">
        <v>40878</v>
      </c>
      <c r="R10" s="34">
        <v>1684302</v>
      </c>
      <c r="S10" s="13" t="s">
        <v>104</v>
      </c>
      <c r="T10" s="10">
        <v>800</v>
      </c>
      <c r="U10" s="14"/>
    </row>
    <row r="11" spans="2:21" x14ac:dyDescent="0.35">
      <c r="B11" s="6"/>
      <c r="C11" s="16" t="s">
        <v>169</v>
      </c>
      <c r="D11" s="17"/>
      <c r="E11" s="18"/>
      <c r="F11" s="19">
        <f>SUM(F10)</f>
        <v>240</v>
      </c>
      <c r="G11" s="20"/>
      <c r="I11" s="12"/>
      <c r="J11" s="34" t="s">
        <v>204</v>
      </c>
      <c r="K11" s="34" t="s">
        <v>205</v>
      </c>
      <c r="L11" s="13" t="s">
        <v>40</v>
      </c>
      <c r="M11" s="10">
        <v>1032</v>
      </c>
      <c r="N11" s="14"/>
      <c r="P11" s="12"/>
      <c r="Q11" s="34">
        <v>40874</v>
      </c>
      <c r="R11" s="34">
        <v>1684302</v>
      </c>
      <c r="S11" s="13" t="s">
        <v>105</v>
      </c>
      <c r="T11" s="10">
        <v>800</v>
      </c>
      <c r="U11" s="14"/>
    </row>
    <row r="12" spans="2:21" x14ac:dyDescent="0.35">
      <c r="B12" s="6"/>
      <c r="C12" s="7" t="s">
        <v>170</v>
      </c>
      <c r="D12" s="8">
        <v>5066901</v>
      </c>
      <c r="E12" s="9" t="s">
        <v>15</v>
      </c>
      <c r="F12" s="10">
        <v>240</v>
      </c>
      <c r="G12" s="11"/>
      <c r="I12" s="12"/>
      <c r="J12" s="34" t="s">
        <v>204</v>
      </c>
      <c r="K12" s="34" t="s">
        <v>205</v>
      </c>
      <c r="L12" s="13" t="s">
        <v>203</v>
      </c>
      <c r="M12" s="10">
        <v>6816</v>
      </c>
      <c r="N12" s="14"/>
      <c r="P12" s="12"/>
      <c r="Q12" s="34">
        <v>40884</v>
      </c>
      <c r="R12" s="34">
        <v>1684302</v>
      </c>
      <c r="S12" s="13" t="s">
        <v>106</v>
      </c>
      <c r="T12" s="10">
        <v>800</v>
      </c>
      <c r="U12" s="14"/>
    </row>
    <row r="13" spans="2:21" x14ac:dyDescent="0.35">
      <c r="B13" s="6"/>
      <c r="C13" s="16" t="s">
        <v>171</v>
      </c>
      <c r="D13" s="17"/>
      <c r="E13" s="18"/>
      <c r="F13" s="19">
        <f>SUM(F12)</f>
        <v>240</v>
      </c>
      <c r="G13" s="20"/>
      <c r="I13" s="12"/>
      <c r="J13" s="34" t="s">
        <v>204</v>
      </c>
      <c r="K13" s="34" t="s">
        <v>206</v>
      </c>
      <c r="L13" s="13" t="s">
        <v>10</v>
      </c>
      <c r="M13" s="10">
        <v>240</v>
      </c>
      <c r="N13" s="14" t="s">
        <v>71</v>
      </c>
      <c r="P13" s="12"/>
      <c r="Q13" s="34">
        <v>33296</v>
      </c>
      <c r="R13" s="34">
        <v>1684302</v>
      </c>
      <c r="S13" s="13" t="s">
        <v>17</v>
      </c>
      <c r="T13" s="10">
        <v>1000</v>
      </c>
      <c r="U13" s="14"/>
    </row>
    <row r="14" spans="2:21" x14ac:dyDescent="0.35">
      <c r="B14" s="6"/>
      <c r="C14" s="7" t="s">
        <v>172</v>
      </c>
      <c r="D14" s="8">
        <v>5066902</v>
      </c>
      <c r="E14" s="9" t="s">
        <v>79</v>
      </c>
      <c r="F14" s="10">
        <v>288</v>
      </c>
      <c r="G14" s="11"/>
      <c r="I14" s="12"/>
      <c r="J14" s="34" t="s">
        <v>72</v>
      </c>
      <c r="K14" s="34" t="s">
        <v>73</v>
      </c>
      <c r="L14" s="13" t="s">
        <v>40</v>
      </c>
      <c r="M14" s="10">
        <v>2932</v>
      </c>
      <c r="N14" s="14"/>
      <c r="P14" s="12"/>
      <c r="Q14" s="34">
        <v>33299</v>
      </c>
      <c r="R14" s="34">
        <v>1684302</v>
      </c>
      <c r="S14" s="13" t="s">
        <v>21</v>
      </c>
      <c r="T14" s="10">
        <v>1000</v>
      </c>
      <c r="U14" s="14"/>
    </row>
    <row r="15" spans="2:21" x14ac:dyDescent="0.35">
      <c r="B15" s="6"/>
      <c r="C15" s="16" t="s">
        <v>173</v>
      </c>
      <c r="D15" s="17"/>
      <c r="E15" s="18"/>
      <c r="F15" s="19">
        <f>SUM(F14)</f>
        <v>288</v>
      </c>
      <c r="G15" s="20"/>
      <c r="I15" s="12"/>
      <c r="J15" s="34" t="s">
        <v>220</v>
      </c>
      <c r="K15" s="34" t="s">
        <v>221</v>
      </c>
      <c r="L15" s="13" t="s">
        <v>222</v>
      </c>
      <c r="M15" s="10">
        <v>550</v>
      </c>
      <c r="N15" s="14" t="s">
        <v>71</v>
      </c>
      <c r="P15" s="12"/>
      <c r="Q15" s="34">
        <v>33301</v>
      </c>
      <c r="R15" s="34">
        <v>1684302</v>
      </c>
      <c r="S15" s="13" t="s">
        <v>21</v>
      </c>
      <c r="T15" s="10">
        <v>800</v>
      </c>
      <c r="U15" s="14"/>
    </row>
    <row r="16" spans="2:21" x14ac:dyDescent="0.35">
      <c r="B16" s="6"/>
      <c r="C16" s="7" t="s">
        <v>174</v>
      </c>
      <c r="D16" s="8">
        <v>5066903</v>
      </c>
      <c r="E16" s="9" t="s">
        <v>15</v>
      </c>
      <c r="F16" s="10">
        <v>244</v>
      </c>
      <c r="G16" s="11"/>
      <c r="I16" s="12"/>
      <c r="J16" s="34" t="s">
        <v>209</v>
      </c>
      <c r="K16" s="34" t="s">
        <v>210</v>
      </c>
      <c r="L16" s="13" t="s">
        <v>14</v>
      </c>
      <c r="M16" s="10">
        <v>75</v>
      </c>
      <c r="N16" s="14" t="s">
        <v>71</v>
      </c>
      <c r="P16" s="12"/>
      <c r="Q16" s="34">
        <v>35446</v>
      </c>
      <c r="R16" s="34">
        <v>1684302</v>
      </c>
      <c r="S16" s="13" t="s">
        <v>109</v>
      </c>
      <c r="T16" s="10">
        <v>1000</v>
      </c>
      <c r="U16" s="14"/>
    </row>
    <row r="17" spans="2:21" x14ac:dyDescent="0.35">
      <c r="B17" s="6"/>
      <c r="C17" s="16" t="s">
        <v>175</v>
      </c>
      <c r="D17" s="17"/>
      <c r="E17" s="18"/>
      <c r="F17" s="19">
        <f>SUM(F16)</f>
        <v>244</v>
      </c>
      <c r="G17" s="20"/>
      <c r="I17" s="12"/>
      <c r="J17" s="34" t="s">
        <v>91</v>
      </c>
      <c r="K17" s="34" t="s">
        <v>92</v>
      </c>
      <c r="L17" s="13" t="s">
        <v>10</v>
      </c>
      <c r="M17" s="10">
        <v>50</v>
      </c>
      <c r="N17" s="14"/>
      <c r="P17" s="12"/>
      <c r="Q17" s="34">
        <v>38834</v>
      </c>
      <c r="R17" s="34">
        <v>1684302</v>
      </c>
      <c r="S17" s="13" t="s">
        <v>110</v>
      </c>
      <c r="T17" s="10">
        <v>800</v>
      </c>
      <c r="U17" s="14"/>
    </row>
    <row r="18" spans="2:21" x14ac:dyDescent="0.35">
      <c r="B18" s="6"/>
      <c r="C18" s="7" t="s">
        <v>176</v>
      </c>
      <c r="D18" s="8">
        <v>5066904</v>
      </c>
      <c r="E18" s="9" t="s">
        <v>15</v>
      </c>
      <c r="F18" s="10">
        <v>360</v>
      </c>
      <c r="G18" s="11"/>
      <c r="I18" s="12"/>
      <c r="J18" s="34" t="s">
        <v>91</v>
      </c>
      <c r="K18" s="34" t="s">
        <v>93</v>
      </c>
      <c r="L18" s="13" t="s">
        <v>10</v>
      </c>
      <c r="M18" s="10">
        <v>1190</v>
      </c>
      <c r="N18" s="14"/>
      <c r="P18" s="12"/>
      <c r="Q18" s="34">
        <v>39227</v>
      </c>
      <c r="R18" s="34">
        <v>1684302</v>
      </c>
      <c r="S18" s="13" t="s">
        <v>111</v>
      </c>
      <c r="T18" s="10">
        <v>800</v>
      </c>
      <c r="U18" s="14"/>
    </row>
    <row r="19" spans="2:21" x14ac:dyDescent="0.35">
      <c r="B19" s="6"/>
      <c r="C19" s="16" t="s">
        <v>177</v>
      </c>
      <c r="D19" s="17"/>
      <c r="E19" s="18"/>
      <c r="F19" s="19">
        <f>SUM(F18)</f>
        <v>360</v>
      </c>
      <c r="G19" s="20"/>
      <c r="I19" s="7"/>
      <c r="J19" s="34" t="s">
        <v>207</v>
      </c>
      <c r="K19" s="34" t="s">
        <v>208</v>
      </c>
      <c r="L19" s="13" t="s">
        <v>38</v>
      </c>
      <c r="M19" s="10">
        <v>500</v>
      </c>
      <c r="N19" s="14"/>
      <c r="P19" s="12"/>
      <c r="Q19" s="34">
        <v>39229</v>
      </c>
      <c r="R19" s="34">
        <v>1684302</v>
      </c>
      <c r="S19" s="13" t="s">
        <v>21</v>
      </c>
      <c r="T19" s="10">
        <v>800</v>
      </c>
      <c r="U19" s="14"/>
    </row>
    <row r="20" spans="2:21" x14ac:dyDescent="0.35">
      <c r="B20" s="6"/>
      <c r="C20" s="7" t="s">
        <v>256</v>
      </c>
      <c r="D20" s="8">
        <v>5064719</v>
      </c>
      <c r="E20" s="9" t="s">
        <v>20</v>
      </c>
      <c r="F20" s="10">
        <v>300</v>
      </c>
      <c r="G20" s="11" t="s">
        <v>538</v>
      </c>
      <c r="I20" s="22" t="s">
        <v>29</v>
      </c>
      <c r="J20" s="23"/>
      <c r="K20" s="24"/>
      <c r="L20" s="24"/>
      <c r="M20" s="25">
        <f>SUM(M5:M19)</f>
        <v>22455</v>
      </c>
      <c r="N20"/>
      <c r="P20" s="12"/>
      <c r="Q20" s="34">
        <v>40896</v>
      </c>
      <c r="R20" s="34">
        <v>1684302</v>
      </c>
      <c r="S20" s="13" t="s">
        <v>112</v>
      </c>
      <c r="T20" s="10">
        <v>1500</v>
      </c>
      <c r="U20" s="14"/>
    </row>
    <row r="21" spans="2:21" x14ac:dyDescent="0.35">
      <c r="B21" s="6"/>
      <c r="C21" s="16" t="s">
        <v>257</v>
      </c>
      <c r="D21" s="17"/>
      <c r="E21" s="18"/>
      <c r="F21" s="19">
        <f>SUM(F20)</f>
        <v>300</v>
      </c>
      <c r="G21" s="20"/>
      <c r="M21" s="1"/>
      <c r="P21" s="12"/>
      <c r="Q21" s="34">
        <v>40897</v>
      </c>
      <c r="R21" s="34">
        <v>1684302</v>
      </c>
      <c r="S21" s="13" t="s">
        <v>17</v>
      </c>
      <c r="T21" s="10">
        <v>800</v>
      </c>
      <c r="U21" s="14"/>
    </row>
    <row r="22" spans="2:21" ht="14.25" customHeight="1" x14ac:dyDescent="0.35">
      <c r="B22" s="6"/>
      <c r="C22" s="7" t="s">
        <v>151</v>
      </c>
      <c r="D22" s="8">
        <v>5066526</v>
      </c>
      <c r="E22" s="9" t="s">
        <v>79</v>
      </c>
      <c r="F22" s="10">
        <v>400</v>
      </c>
      <c r="G22" s="11"/>
      <c r="I22" s="2" t="s">
        <v>1</v>
      </c>
      <c r="J22" s="2" t="s">
        <v>2</v>
      </c>
      <c r="K22" s="3" t="s">
        <v>3</v>
      </c>
      <c r="L22" s="2" t="s">
        <v>4</v>
      </c>
      <c r="M22" s="4" t="s">
        <v>5</v>
      </c>
      <c r="N22" s="5" t="s">
        <v>6</v>
      </c>
      <c r="P22" s="12"/>
      <c r="Q22" s="34">
        <v>40879</v>
      </c>
      <c r="R22" s="34">
        <v>1684302</v>
      </c>
      <c r="S22" s="13" t="s">
        <v>113</v>
      </c>
      <c r="T22" s="10">
        <v>800</v>
      </c>
      <c r="U22" s="34"/>
    </row>
    <row r="23" spans="2:21" x14ac:dyDescent="0.35">
      <c r="B23" s="6"/>
      <c r="C23" s="16" t="s">
        <v>152</v>
      </c>
      <c r="D23" s="17"/>
      <c r="E23" s="18"/>
      <c r="F23" s="19">
        <f>SUM(F22)</f>
        <v>400</v>
      </c>
      <c r="G23" s="20"/>
      <c r="I23" s="12" t="s">
        <v>42</v>
      </c>
      <c r="J23" s="34" t="s">
        <v>95</v>
      </c>
      <c r="K23" s="34" t="s">
        <v>96</v>
      </c>
      <c r="L23" s="13" t="s">
        <v>10</v>
      </c>
      <c r="M23" s="10">
        <v>1009</v>
      </c>
      <c r="N23" s="14"/>
      <c r="P23" s="12"/>
      <c r="Q23" s="34">
        <v>39747</v>
      </c>
      <c r="R23" s="34">
        <v>1681507</v>
      </c>
      <c r="S23" s="13" t="s">
        <v>19</v>
      </c>
      <c r="T23" s="10">
        <v>600</v>
      </c>
      <c r="U23" s="34"/>
    </row>
    <row r="24" spans="2:21" x14ac:dyDescent="0.35">
      <c r="B24" s="6"/>
      <c r="C24" s="27" t="s">
        <v>260</v>
      </c>
      <c r="D24" s="28">
        <v>5065776</v>
      </c>
      <c r="E24" s="9" t="s">
        <v>15</v>
      </c>
      <c r="F24" s="10">
        <v>1628</v>
      </c>
      <c r="G24" s="11"/>
      <c r="I24" s="12" t="s">
        <v>43</v>
      </c>
      <c r="J24" s="34" t="s">
        <v>95</v>
      </c>
      <c r="K24" s="34" t="s">
        <v>217</v>
      </c>
      <c r="L24" s="13" t="s">
        <v>10</v>
      </c>
      <c r="M24" s="10">
        <v>937</v>
      </c>
      <c r="N24" s="14" t="s">
        <v>216</v>
      </c>
      <c r="P24" s="12"/>
      <c r="Q24" s="34">
        <v>39748</v>
      </c>
      <c r="R24" s="34">
        <v>1681507</v>
      </c>
      <c r="S24" s="13" t="s">
        <v>211</v>
      </c>
      <c r="T24" s="10">
        <v>600</v>
      </c>
      <c r="U24" s="34"/>
    </row>
    <row r="25" spans="2:21" x14ac:dyDescent="0.35">
      <c r="B25" s="6"/>
      <c r="C25" s="27"/>
      <c r="D25" s="28"/>
      <c r="E25" s="9" t="s">
        <v>20</v>
      </c>
      <c r="F25" s="10">
        <v>1359</v>
      </c>
      <c r="G25" s="11" t="s">
        <v>539</v>
      </c>
      <c r="I25" s="12"/>
      <c r="J25" s="34" t="s">
        <v>95</v>
      </c>
      <c r="K25" s="34" t="s">
        <v>218</v>
      </c>
      <c r="L25" s="13" t="s">
        <v>10</v>
      </c>
      <c r="M25" s="10">
        <v>36</v>
      </c>
      <c r="N25" s="14" t="s">
        <v>216</v>
      </c>
      <c r="P25" s="7"/>
      <c r="Q25" s="34">
        <v>39749</v>
      </c>
      <c r="R25" s="34">
        <v>1681507</v>
      </c>
      <c r="S25" s="13" t="s">
        <v>212</v>
      </c>
      <c r="T25" s="10">
        <v>600</v>
      </c>
      <c r="U25" s="34"/>
    </row>
    <row r="26" spans="2:21" ht="14.25" customHeight="1" x14ac:dyDescent="0.35">
      <c r="B26" s="6"/>
      <c r="C26" s="7"/>
      <c r="D26" s="8"/>
      <c r="E26" s="9" t="s">
        <v>163</v>
      </c>
      <c r="F26" s="10">
        <v>1862</v>
      </c>
      <c r="G26" s="11"/>
      <c r="I26" s="7"/>
      <c r="J26" s="34" t="s">
        <v>95</v>
      </c>
      <c r="K26" s="34" t="s">
        <v>219</v>
      </c>
      <c r="L26" s="13" t="s">
        <v>10</v>
      </c>
      <c r="M26" s="10">
        <v>36</v>
      </c>
      <c r="N26" s="14" t="s">
        <v>216</v>
      </c>
      <c r="P26" s="22" t="s">
        <v>27</v>
      </c>
      <c r="Q26" s="23"/>
      <c r="R26" s="24"/>
      <c r="S26" s="24"/>
      <c r="T26" s="25">
        <f>SUM(T5:T25)</f>
        <v>17300</v>
      </c>
      <c r="U26"/>
    </row>
    <row r="27" spans="2:21" ht="13.5" customHeight="1" x14ac:dyDescent="0.35">
      <c r="B27" s="6"/>
      <c r="C27" s="16" t="s">
        <v>261</v>
      </c>
      <c r="D27" s="17"/>
      <c r="E27" s="18"/>
      <c r="F27" s="19">
        <f>SUM(F24:F26)</f>
        <v>4849</v>
      </c>
      <c r="G27" s="20"/>
      <c r="I27" s="22" t="s">
        <v>94</v>
      </c>
      <c r="J27" s="23"/>
      <c r="K27" s="24"/>
      <c r="L27" s="24"/>
      <c r="M27" s="25">
        <f>SUM(M23:M26)</f>
        <v>2018</v>
      </c>
      <c r="N27"/>
    </row>
    <row r="28" spans="2:21" ht="14.25" customHeight="1" x14ac:dyDescent="0.35">
      <c r="B28" s="6"/>
      <c r="C28" s="27" t="s">
        <v>119</v>
      </c>
      <c r="D28" s="28">
        <v>5063824</v>
      </c>
      <c r="E28" s="9" t="s">
        <v>120</v>
      </c>
      <c r="F28" s="10">
        <v>656</v>
      </c>
      <c r="G28" s="11"/>
      <c r="P28" s="2" t="s">
        <v>1</v>
      </c>
      <c r="Q28" s="2" t="s">
        <v>2</v>
      </c>
      <c r="R28" s="3" t="s">
        <v>3</v>
      </c>
      <c r="S28" s="2" t="s">
        <v>4</v>
      </c>
      <c r="T28" s="4" t="s">
        <v>5</v>
      </c>
      <c r="U28" s="5" t="s">
        <v>6</v>
      </c>
    </row>
    <row r="29" spans="2:21" x14ac:dyDescent="0.35">
      <c r="B29" s="6"/>
      <c r="C29" s="27"/>
      <c r="D29" s="28"/>
      <c r="E29" s="9" t="s">
        <v>121</v>
      </c>
      <c r="F29" s="10">
        <v>568</v>
      </c>
      <c r="G29" s="11"/>
      <c r="P29" s="12" t="s">
        <v>83</v>
      </c>
      <c r="Q29" s="34" t="s">
        <v>84</v>
      </c>
      <c r="R29" s="34" t="s">
        <v>85</v>
      </c>
      <c r="S29" s="13" t="s">
        <v>86</v>
      </c>
      <c r="T29" s="32">
        <v>800</v>
      </c>
      <c r="U29" s="14"/>
    </row>
    <row r="30" spans="2:21" x14ac:dyDescent="0.35">
      <c r="B30" s="6"/>
      <c r="C30" s="27"/>
      <c r="D30" s="28">
        <v>5064758</v>
      </c>
      <c r="E30" s="9" t="s">
        <v>265</v>
      </c>
      <c r="F30" s="10">
        <v>1060</v>
      </c>
      <c r="G30" s="11"/>
      <c r="P30" s="7"/>
      <c r="Q30" s="34" t="s">
        <v>84</v>
      </c>
      <c r="R30" s="34" t="s">
        <v>114</v>
      </c>
      <c r="S30" s="13" t="s">
        <v>115</v>
      </c>
      <c r="T30" s="32">
        <v>800</v>
      </c>
      <c r="U30" s="14"/>
    </row>
    <row r="31" spans="2:21" ht="15" customHeight="1" x14ac:dyDescent="0.35">
      <c r="B31" s="6"/>
      <c r="C31" s="7"/>
      <c r="D31" s="8"/>
      <c r="E31" s="9" t="s">
        <v>156</v>
      </c>
      <c r="F31" s="10">
        <v>419</v>
      </c>
      <c r="G31" s="11"/>
      <c r="P31" s="22" t="s">
        <v>87</v>
      </c>
      <c r="Q31" s="23"/>
      <c r="R31" s="24"/>
      <c r="S31" s="24"/>
      <c r="T31" s="25">
        <f>SUM(T29:T30)</f>
        <v>1600</v>
      </c>
      <c r="U31"/>
    </row>
    <row r="32" spans="2:21" ht="15" customHeight="1" x14ac:dyDescent="0.35">
      <c r="B32" s="6"/>
      <c r="C32" s="16" t="s">
        <v>122</v>
      </c>
      <c r="D32" s="17"/>
      <c r="E32" s="18"/>
      <c r="F32" s="19">
        <f>SUM(F28:F31)</f>
        <v>2703</v>
      </c>
      <c r="G32" s="20"/>
    </row>
    <row r="33" spans="2:21" x14ac:dyDescent="0.35">
      <c r="B33" s="6"/>
      <c r="C33" s="7" t="s">
        <v>12</v>
      </c>
      <c r="D33" s="8">
        <v>5066689</v>
      </c>
      <c r="E33" s="9" t="s">
        <v>15</v>
      </c>
      <c r="F33" s="10">
        <v>2645</v>
      </c>
      <c r="G33" s="11"/>
      <c r="P33" s="2" t="s">
        <v>1</v>
      </c>
      <c r="Q33" s="2" t="s">
        <v>2</v>
      </c>
      <c r="R33" s="3" t="s">
        <v>3</v>
      </c>
      <c r="S33" s="2" t="s">
        <v>4</v>
      </c>
      <c r="T33" s="4" t="s">
        <v>5</v>
      </c>
      <c r="U33" s="5" t="s">
        <v>6</v>
      </c>
    </row>
    <row r="34" spans="2:21" ht="14.25" customHeight="1" x14ac:dyDescent="0.35">
      <c r="B34" s="6"/>
      <c r="C34" s="16" t="s">
        <v>13</v>
      </c>
      <c r="D34" s="17"/>
      <c r="E34" s="18"/>
      <c r="F34" s="19">
        <f>SUM(F33)</f>
        <v>2645</v>
      </c>
      <c r="G34" s="20"/>
      <c r="P34" s="12" t="s">
        <v>25</v>
      </c>
      <c r="Q34" s="35" t="s">
        <v>52</v>
      </c>
      <c r="R34" s="36">
        <v>4405</v>
      </c>
      <c r="S34" s="34" t="s">
        <v>33</v>
      </c>
      <c r="T34" s="10">
        <v>100</v>
      </c>
      <c r="U34" s="14" t="s">
        <v>213</v>
      </c>
    </row>
    <row r="35" spans="2:21" ht="14.25" customHeight="1" x14ac:dyDescent="0.35">
      <c r="B35" s="6"/>
      <c r="C35" s="7" t="s">
        <v>270</v>
      </c>
      <c r="D35" s="8">
        <v>5065938</v>
      </c>
      <c r="E35" s="9" t="s">
        <v>161</v>
      </c>
      <c r="F35" s="10">
        <v>36</v>
      </c>
      <c r="G35" s="11" t="s">
        <v>147</v>
      </c>
      <c r="P35" s="7"/>
      <c r="Q35" s="35" t="s">
        <v>52</v>
      </c>
      <c r="R35" s="36">
        <v>4354</v>
      </c>
      <c r="S35" s="34" t="s">
        <v>24</v>
      </c>
      <c r="T35" s="10">
        <v>500</v>
      </c>
      <c r="U35" s="14" t="s">
        <v>213</v>
      </c>
    </row>
    <row r="36" spans="2:21" ht="14.25" customHeight="1" x14ac:dyDescent="0.35">
      <c r="B36" s="6"/>
      <c r="C36" s="16" t="s">
        <v>271</v>
      </c>
      <c r="D36" s="17"/>
      <c r="E36" s="18"/>
      <c r="F36" s="19">
        <f>SUM(F35)</f>
        <v>36</v>
      </c>
      <c r="G36" s="20"/>
      <c r="P36" s="22" t="s">
        <v>26</v>
      </c>
      <c r="Q36" s="23"/>
      <c r="R36" s="24"/>
      <c r="S36" s="24"/>
      <c r="T36" s="25">
        <f>SUM(T34:T35)</f>
        <v>600</v>
      </c>
      <c r="U36"/>
    </row>
    <row r="37" spans="2:21" ht="14.25" customHeight="1" x14ac:dyDescent="0.35">
      <c r="B37" s="6"/>
      <c r="C37" s="7" t="s">
        <v>272</v>
      </c>
      <c r="D37" s="8">
        <v>5065303</v>
      </c>
      <c r="E37" s="9" t="s">
        <v>134</v>
      </c>
      <c r="F37" s="10">
        <v>26</v>
      </c>
      <c r="G37" s="11" t="s">
        <v>147</v>
      </c>
    </row>
    <row r="38" spans="2:21" x14ac:dyDescent="0.35">
      <c r="B38" s="6"/>
      <c r="C38" s="16" t="s">
        <v>273</v>
      </c>
      <c r="D38" s="17"/>
      <c r="E38" s="18"/>
      <c r="F38" s="19">
        <f>SUM(F37)</f>
        <v>26</v>
      </c>
      <c r="G38" s="20"/>
    </row>
    <row r="39" spans="2:21" x14ac:dyDescent="0.35">
      <c r="B39" s="6"/>
      <c r="C39" s="7" t="s">
        <v>275</v>
      </c>
      <c r="D39" s="8">
        <v>5065307</v>
      </c>
      <c r="E39" s="9" t="s">
        <v>134</v>
      </c>
      <c r="F39" s="10">
        <v>24</v>
      </c>
      <c r="G39" s="11" t="s">
        <v>147</v>
      </c>
    </row>
    <row r="40" spans="2:21" x14ac:dyDescent="0.35">
      <c r="B40" s="6"/>
      <c r="C40" s="16" t="s">
        <v>276</v>
      </c>
      <c r="D40" s="17"/>
      <c r="E40" s="18"/>
      <c r="F40" s="19">
        <f>SUM(F39)</f>
        <v>24</v>
      </c>
      <c r="G40" s="20"/>
    </row>
    <row r="41" spans="2:21" x14ac:dyDescent="0.35">
      <c r="B41" s="6"/>
      <c r="C41" s="27" t="s">
        <v>277</v>
      </c>
      <c r="D41" s="28">
        <v>5065311</v>
      </c>
      <c r="E41" s="9" t="s">
        <v>134</v>
      </c>
      <c r="F41" s="10">
        <v>32</v>
      </c>
      <c r="G41" s="11" t="s">
        <v>147</v>
      </c>
    </row>
    <row r="42" spans="2:21" x14ac:dyDescent="0.35">
      <c r="B42" s="6"/>
      <c r="C42" s="7"/>
      <c r="D42" s="8"/>
      <c r="E42" s="9" t="s">
        <v>155</v>
      </c>
      <c r="F42" s="10">
        <v>24</v>
      </c>
      <c r="G42" s="11" t="s">
        <v>147</v>
      </c>
    </row>
    <row r="43" spans="2:21" x14ac:dyDescent="0.35">
      <c r="B43" s="6"/>
      <c r="C43" s="16" t="s">
        <v>278</v>
      </c>
      <c r="D43" s="17"/>
      <c r="E43" s="18"/>
      <c r="F43" s="19">
        <f>SUM(F41:F42)</f>
        <v>56</v>
      </c>
      <c r="G43" s="20"/>
    </row>
    <row r="44" spans="2:21" x14ac:dyDescent="0.35">
      <c r="B44" s="6"/>
      <c r="C44" s="27" t="s">
        <v>279</v>
      </c>
      <c r="D44" s="28">
        <v>5065312</v>
      </c>
      <c r="E44" s="9" t="s">
        <v>134</v>
      </c>
      <c r="F44" s="10">
        <v>32</v>
      </c>
      <c r="G44" s="11" t="s">
        <v>147</v>
      </c>
    </row>
    <row r="45" spans="2:21" x14ac:dyDescent="0.35">
      <c r="B45" s="6"/>
      <c r="C45" s="7"/>
      <c r="D45" s="8"/>
      <c r="E45" s="9" t="s">
        <v>155</v>
      </c>
      <c r="F45" s="10">
        <v>24</v>
      </c>
      <c r="G45" s="11" t="s">
        <v>147</v>
      </c>
    </row>
    <row r="46" spans="2:21" x14ac:dyDescent="0.35">
      <c r="B46" s="6"/>
      <c r="C46" s="16" t="s">
        <v>280</v>
      </c>
      <c r="D46" s="17"/>
      <c r="E46" s="18"/>
      <c r="F46" s="19">
        <f>SUM(F44:F45)</f>
        <v>56</v>
      </c>
      <c r="G46" s="20"/>
    </row>
    <row r="47" spans="2:21" x14ac:dyDescent="0.35">
      <c r="B47" s="6"/>
      <c r="C47" s="27" t="s">
        <v>281</v>
      </c>
      <c r="D47" s="28">
        <v>5065319</v>
      </c>
      <c r="E47" s="9" t="s">
        <v>178</v>
      </c>
      <c r="F47" s="10">
        <v>24</v>
      </c>
      <c r="G47" s="11" t="s">
        <v>147</v>
      </c>
    </row>
    <row r="48" spans="2:21" x14ac:dyDescent="0.35">
      <c r="B48" s="6"/>
      <c r="C48" s="27"/>
      <c r="D48" s="28"/>
      <c r="E48" s="9" t="s">
        <v>274</v>
      </c>
      <c r="F48" s="10">
        <v>24</v>
      </c>
      <c r="G48" s="11" t="s">
        <v>147</v>
      </c>
    </row>
    <row r="49" spans="2:7" x14ac:dyDescent="0.35">
      <c r="B49" s="6"/>
      <c r="C49" s="27"/>
      <c r="D49" s="28"/>
      <c r="E49" s="9" t="s">
        <v>179</v>
      </c>
      <c r="F49" s="10">
        <v>24</v>
      </c>
      <c r="G49" s="11" t="s">
        <v>147</v>
      </c>
    </row>
    <row r="50" spans="2:7" x14ac:dyDescent="0.35">
      <c r="B50" s="6"/>
      <c r="C50" s="27"/>
      <c r="D50" s="28"/>
      <c r="E50" s="9" t="s">
        <v>180</v>
      </c>
      <c r="F50" s="10">
        <v>24</v>
      </c>
      <c r="G50" s="11" t="s">
        <v>147</v>
      </c>
    </row>
    <row r="51" spans="2:7" x14ac:dyDescent="0.35">
      <c r="B51" s="6"/>
      <c r="C51" s="7"/>
      <c r="D51" s="8"/>
      <c r="E51" s="9" t="s">
        <v>181</v>
      </c>
      <c r="F51" s="10">
        <v>24</v>
      </c>
      <c r="G51" s="11" t="s">
        <v>147</v>
      </c>
    </row>
    <row r="52" spans="2:7" x14ac:dyDescent="0.35">
      <c r="B52" s="6"/>
      <c r="C52" s="16" t="s">
        <v>282</v>
      </c>
      <c r="D52" s="17"/>
      <c r="E52" s="18"/>
      <c r="F52" s="19">
        <f>SUM(F47:F51)</f>
        <v>120</v>
      </c>
      <c r="G52" s="20"/>
    </row>
    <row r="53" spans="2:7" x14ac:dyDescent="0.35">
      <c r="B53" s="6"/>
      <c r="C53" s="27" t="s">
        <v>283</v>
      </c>
      <c r="D53" s="28">
        <v>5065323</v>
      </c>
      <c r="E53" s="9" t="s">
        <v>15</v>
      </c>
      <c r="F53" s="10">
        <v>96</v>
      </c>
      <c r="G53" s="11" t="s">
        <v>147</v>
      </c>
    </row>
    <row r="54" spans="2:7" x14ac:dyDescent="0.35">
      <c r="B54" s="6"/>
      <c r="C54" s="27"/>
      <c r="D54" s="28"/>
      <c r="E54" s="9" t="s">
        <v>20</v>
      </c>
      <c r="F54" s="10">
        <v>72</v>
      </c>
      <c r="G54" s="11" t="s">
        <v>147</v>
      </c>
    </row>
    <row r="55" spans="2:7" x14ac:dyDescent="0.35">
      <c r="B55" s="6"/>
      <c r="C55" s="27"/>
      <c r="D55" s="28"/>
      <c r="E55" s="9" t="s">
        <v>163</v>
      </c>
      <c r="F55" s="10">
        <v>96</v>
      </c>
      <c r="G55" s="11" t="s">
        <v>147</v>
      </c>
    </row>
    <row r="56" spans="2:7" x14ac:dyDescent="0.35">
      <c r="B56" s="6"/>
      <c r="C56" s="27"/>
      <c r="D56" s="28"/>
      <c r="E56" s="9" t="s">
        <v>164</v>
      </c>
      <c r="F56" s="10">
        <v>48</v>
      </c>
      <c r="G56" s="11" t="s">
        <v>147</v>
      </c>
    </row>
    <row r="57" spans="2:7" x14ac:dyDescent="0.35">
      <c r="B57" s="6"/>
      <c r="C57" s="27"/>
      <c r="D57" s="28"/>
      <c r="E57" s="9" t="s">
        <v>54</v>
      </c>
      <c r="F57" s="10">
        <v>48</v>
      </c>
      <c r="G57" s="11" t="s">
        <v>147</v>
      </c>
    </row>
    <row r="58" spans="2:7" x14ac:dyDescent="0.35">
      <c r="B58" s="6"/>
      <c r="C58" s="27"/>
      <c r="D58" s="28"/>
      <c r="E58" s="9" t="s">
        <v>55</v>
      </c>
      <c r="F58" s="10">
        <v>48</v>
      </c>
      <c r="G58" s="11" t="s">
        <v>147</v>
      </c>
    </row>
    <row r="59" spans="2:7" x14ac:dyDescent="0.35">
      <c r="B59" s="6"/>
      <c r="C59" s="7"/>
      <c r="D59" s="8"/>
      <c r="E59" s="9" t="s">
        <v>56</v>
      </c>
      <c r="F59" s="10">
        <v>72</v>
      </c>
      <c r="G59" s="11" t="s">
        <v>147</v>
      </c>
    </row>
    <row r="60" spans="2:7" x14ac:dyDescent="0.35">
      <c r="B60" s="6"/>
      <c r="C60" s="16" t="s">
        <v>284</v>
      </c>
      <c r="D60" s="17"/>
      <c r="E60" s="18"/>
      <c r="F60" s="19">
        <f>SUM(F53:F59)</f>
        <v>480</v>
      </c>
      <c r="G60" s="20"/>
    </row>
    <row r="61" spans="2:7" x14ac:dyDescent="0.35">
      <c r="B61" s="6"/>
      <c r="C61" s="27" t="s">
        <v>285</v>
      </c>
      <c r="D61" s="28">
        <v>5065332</v>
      </c>
      <c r="E61" s="9" t="s">
        <v>134</v>
      </c>
      <c r="F61" s="10">
        <v>26</v>
      </c>
      <c r="G61" s="11" t="s">
        <v>147</v>
      </c>
    </row>
    <row r="62" spans="2:7" x14ac:dyDescent="0.35">
      <c r="B62" s="6"/>
      <c r="C62" s="7"/>
      <c r="D62" s="8"/>
      <c r="E62" s="9" t="s">
        <v>155</v>
      </c>
      <c r="F62" s="10">
        <v>24</v>
      </c>
      <c r="G62" s="11" t="s">
        <v>147</v>
      </c>
    </row>
    <row r="63" spans="2:7" x14ac:dyDescent="0.35">
      <c r="B63" s="6"/>
      <c r="C63" s="16" t="s">
        <v>286</v>
      </c>
      <c r="D63" s="17"/>
      <c r="E63" s="18"/>
      <c r="F63" s="19">
        <f>SUM(F61:F62)</f>
        <v>50</v>
      </c>
      <c r="G63" s="20"/>
    </row>
    <row r="64" spans="2:7" x14ac:dyDescent="0.35">
      <c r="B64" s="6"/>
      <c r="C64" s="7" t="s">
        <v>287</v>
      </c>
      <c r="D64" s="8">
        <v>5065334</v>
      </c>
      <c r="E64" s="9" t="s">
        <v>134</v>
      </c>
      <c r="F64" s="10">
        <v>24</v>
      </c>
      <c r="G64" s="11" t="s">
        <v>147</v>
      </c>
    </row>
    <row r="65" spans="2:7" x14ac:dyDescent="0.35">
      <c r="B65" s="6"/>
      <c r="C65" s="16" t="s">
        <v>288</v>
      </c>
      <c r="D65" s="17"/>
      <c r="E65" s="18"/>
      <c r="F65" s="19">
        <f>SUM(F64)</f>
        <v>24</v>
      </c>
      <c r="G65" s="20"/>
    </row>
    <row r="66" spans="2:7" x14ac:dyDescent="0.35">
      <c r="B66" s="6"/>
      <c r="C66" s="27" t="s">
        <v>289</v>
      </c>
      <c r="D66" s="28">
        <v>5065335</v>
      </c>
      <c r="E66" s="9" t="s">
        <v>178</v>
      </c>
      <c r="F66" s="10">
        <v>24</v>
      </c>
      <c r="G66" s="11" t="s">
        <v>147</v>
      </c>
    </row>
    <row r="67" spans="2:7" x14ac:dyDescent="0.35">
      <c r="B67" s="6"/>
      <c r="C67" s="27"/>
      <c r="D67" s="28"/>
      <c r="E67" s="9" t="s">
        <v>274</v>
      </c>
      <c r="F67" s="10">
        <v>24</v>
      </c>
      <c r="G67" s="11" t="s">
        <v>147</v>
      </c>
    </row>
    <row r="68" spans="2:7" x14ac:dyDescent="0.35">
      <c r="B68" s="6"/>
      <c r="C68" s="27"/>
      <c r="D68" s="28"/>
      <c r="E68" s="9" t="s">
        <v>179</v>
      </c>
      <c r="F68" s="10">
        <v>24</v>
      </c>
      <c r="G68" s="11" t="s">
        <v>147</v>
      </c>
    </row>
    <row r="69" spans="2:7" x14ac:dyDescent="0.35">
      <c r="B69" s="6"/>
      <c r="C69" s="27"/>
      <c r="D69" s="28"/>
      <c r="E69" s="9" t="s">
        <v>180</v>
      </c>
      <c r="F69" s="10">
        <v>24</v>
      </c>
      <c r="G69" s="11" t="s">
        <v>147</v>
      </c>
    </row>
    <row r="70" spans="2:7" x14ac:dyDescent="0.35">
      <c r="B70" s="6"/>
      <c r="C70" s="7"/>
      <c r="D70" s="8"/>
      <c r="E70" s="9" t="s">
        <v>181</v>
      </c>
      <c r="F70" s="10">
        <v>24</v>
      </c>
      <c r="G70" s="11" t="s">
        <v>147</v>
      </c>
    </row>
    <row r="71" spans="2:7" x14ac:dyDescent="0.35">
      <c r="B71" s="6"/>
      <c r="C71" s="16" t="s">
        <v>290</v>
      </c>
      <c r="D71" s="17"/>
      <c r="E71" s="18"/>
      <c r="F71" s="19">
        <f>SUM(F66:F70)</f>
        <v>120</v>
      </c>
      <c r="G71" s="20"/>
    </row>
    <row r="72" spans="2:7" x14ac:dyDescent="0.35">
      <c r="B72" s="6"/>
      <c r="C72" s="27" t="s">
        <v>187</v>
      </c>
      <c r="D72" s="28">
        <v>5065408</v>
      </c>
      <c r="E72" s="9" t="s">
        <v>15</v>
      </c>
      <c r="F72" s="10">
        <v>150</v>
      </c>
      <c r="G72" s="11" t="s">
        <v>147</v>
      </c>
    </row>
    <row r="73" spans="2:7" x14ac:dyDescent="0.35">
      <c r="B73" s="6"/>
      <c r="C73" s="7"/>
      <c r="D73" s="8"/>
      <c r="E73" s="9" t="s">
        <v>163</v>
      </c>
      <c r="F73" s="10">
        <v>150</v>
      </c>
      <c r="G73" s="11" t="s">
        <v>147</v>
      </c>
    </row>
    <row r="74" spans="2:7" x14ac:dyDescent="0.35">
      <c r="B74" s="29"/>
      <c r="C74" s="16" t="s">
        <v>188</v>
      </c>
      <c r="D74" s="17"/>
      <c r="E74" s="18"/>
      <c r="F74" s="19">
        <f>SUM(F72:F73)</f>
        <v>300</v>
      </c>
      <c r="G74" s="20"/>
    </row>
    <row r="75" spans="2:7" x14ac:dyDescent="0.35">
      <c r="B75" s="22" t="s">
        <v>22</v>
      </c>
      <c r="C75" s="23"/>
      <c r="D75" s="24"/>
      <c r="E75" s="24"/>
      <c r="F75" s="25">
        <f>SUM(F74,F71,F65,F63,F60,F52,F46,F43,F40,F38,F36,F34,F32,F27,F23,F21,F19,F17,F15,F13,F11,F9,F6)</f>
        <v>15821</v>
      </c>
      <c r="G75" s="1"/>
    </row>
    <row r="77" spans="2:7" x14ac:dyDescent="0.35">
      <c r="B77" s="2" t="s">
        <v>1</v>
      </c>
      <c r="C77" s="2" t="s">
        <v>2</v>
      </c>
      <c r="D77" s="3" t="s">
        <v>3</v>
      </c>
      <c r="E77" s="2" t="s">
        <v>4</v>
      </c>
      <c r="F77" s="4" t="s">
        <v>5</v>
      </c>
      <c r="G77" s="5" t="s">
        <v>6</v>
      </c>
    </row>
    <row r="78" spans="2:7" x14ac:dyDescent="0.35">
      <c r="B78" s="6" t="s">
        <v>7</v>
      </c>
      <c r="C78" s="27" t="s">
        <v>182</v>
      </c>
      <c r="D78" s="28">
        <v>5065316</v>
      </c>
      <c r="E78" s="9" t="s">
        <v>183</v>
      </c>
      <c r="F78" s="10">
        <v>500</v>
      </c>
      <c r="G78" s="11"/>
    </row>
    <row r="79" spans="2:7" x14ac:dyDescent="0.35">
      <c r="B79" s="6" t="s">
        <v>9</v>
      </c>
      <c r="C79" s="27"/>
      <c r="D79" s="28"/>
      <c r="E79" s="9" t="s">
        <v>129</v>
      </c>
      <c r="F79" s="10">
        <v>1785</v>
      </c>
      <c r="G79" s="11"/>
    </row>
    <row r="80" spans="2:7" x14ac:dyDescent="0.35">
      <c r="B80" s="6"/>
      <c r="C80" s="27"/>
      <c r="D80" s="28"/>
      <c r="E80" s="9" t="s">
        <v>184</v>
      </c>
      <c r="F80" s="10">
        <v>2503</v>
      </c>
      <c r="G80" s="11"/>
    </row>
    <row r="81" spans="2:7" x14ac:dyDescent="0.35">
      <c r="B81" s="6"/>
      <c r="C81" s="7"/>
      <c r="D81" s="8"/>
      <c r="E81" s="9" t="s">
        <v>185</v>
      </c>
      <c r="F81" s="10">
        <v>1000</v>
      </c>
      <c r="G81" s="11"/>
    </row>
    <row r="82" spans="2:7" x14ac:dyDescent="0.35">
      <c r="B82" s="6"/>
      <c r="C82" s="16" t="s">
        <v>186</v>
      </c>
      <c r="D82" s="17"/>
      <c r="E82" s="18"/>
      <c r="F82" s="19">
        <f>SUM(F78:F81)</f>
        <v>5788</v>
      </c>
      <c r="G82" s="20"/>
    </row>
    <row r="83" spans="2:7" x14ac:dyDescent="0.35">
      <c r="B83" s="6"/>
      <c r="C83" s="7" t="s">
        <v>137</v>
      </c>
      <c r="D83" s="8">
        <v>5066529</v>
      </c>
      <c r="E83" s="9" t="s">
        <v>15</v>
      </c>
      <c r="F83" s="10">
        <v>1923</v>
      </c>
      <c r="G83" s="11"/>
    </row>
    <row r="84" spans="2:7" x14ac:dyDescent="0.35">
      <c r="B84" s="6"/>
      <c r="C84" s="16" t="s">
        <v>138</v>
      </c>
      <c r="D84" s="17"/>
      <c r="E84" s="18"/>
      <c r="F84" s="19">
        <f>SUM(F83)</f>
        <v>1923</v>
      </c>
      <c r="G84" s="20"/>
    </row>
    <row r="85" spans="2:7" x14ac:dyDescent="0.35">
      <c r="B85" s="6"/>
      <c r="C85" s="7" t="s">
        <v>360</v>
      </c>
      <c r="D85" s="8">
        <v>5066532</v>
      </c>
      <c r="E85" s="9" t="s">
        <v>304</v>
      </c>
      <c r="F85" s="10">
        <v>1697</v>
      </c>
      <c r="G85" s="11" t="s">
        <v>539</v>
      </c>
    </row>
    <row r="86" spans="2:7" x14ac:dyDescent="0.35">
      <c r="B86" s="6"/>
      <c r="C86" s="16" t="s">
        <v>361</v>
      </c>
      <c r="D86" s="17"/>
      <c r="E86" s="18"/>
      <c r="F86" s="19">
        <f>SUM(F85)</f>
        <v>1697</v>
      </c>
      <c r="G86" s="20"/>
    </row>
    <row r="87" spans="2:7" x14ac:dyDescent="0.35">
      <c r="B87" s="6"/>
      <c r="C87" s="7" t="s">
        <v>139</v>
      </c>
      <c r="D87" s="8">
        <v>5066536</v>
      </c>
      <c r="E87" s="9" t="s">
        <v>15</v>
      </c>
      <c r="F87" s="10">
        <v>1166</v>
      </c>
      <c r="G87" s="11"/>
    </row>
    <row r="88" spans="2:7" x14ac:dyDescent="0.35">
      <c r="B88" s="6"/>
      <c r="C88" s="16" t="s">
        <v>140</v>
      </c>
      <c r="D88" s="17"/>
      <c r="E88" s="18"/>
      <c r="F88" s="19">
        <f>SUM(F87)</f>
        <v>1166</v>
      </c>
      <c r="G88" s="20"/>
    </row>
    <row r="89" spans="2:7" x14ac:dyDescent="0.35">
      <c r="B89" s="6"/>
      <c r="C89" s="7" t="s">
        <v>389</v>
      </c>
      <c r="D89" s="8">
        <v>5065262</v>
      </c>
      <c r="E89" s="9" t="s">
        <v>15</v>
      </c>
      <c r="F89" s="10">
        <v>246</v>
      </c>
      <c r="G89" s="11"/>
    </row>
    <row r="90" spans="2:7" x14ac:dyDescent="0.35">
      <c r="B90" s="6"/>
      <c r="C90" s="16" t="s">
        <v>390</v>
      </c>
      <c r="D90" s="17"/>
      <c r="E90" s="18"/>
      <c r="F90" s="19">
        <f>SUM(F89)</f>
        <v>246</v>
      </c>
      <c r="G90" s="20"/>
    </row>
    <row r="91" spans="2:7" x14ac:dyDescent="0.35">
      <c r="B91" s="6"/>
      <c r="C91" s="7" t="s">
        <v>141</v>
      </c>
      <c r="D91" s="8">
        <v>5066950</v>
      </c>
      <c r="E91" s="9" t="s">
        <v>15</v>
      </c>
      <c r="F91" s="10">
        <v>200</v>
      </c>
      <c r="G91" s="11" t="s">
        <v>147</v>
      </c>
    </row>
    <row r="92" spans="2:7" x14ac:dyDescent="0.35">
      <c r="B92" s="6"/>
      <c r="C92" s="16" t="s">
        <v>142</v>
      </c>
      <c r="D92" s="17"/>
      <c r="E92" s="18"/>
      <c r="F92" s="19">
        <f>SUM(F91)</f>
        <v>200</v>
      </c>
      <c r="G92" s="20"/>
    </row>
    <row r="93" spans="2:7" x14ac:dyDescent="0.35">
      <c r="B93" s="6"/>
      <c r="C93" s="7" t="s">
        <v>143</v>
      </c>
      <c r="D93" s="8">
        <v>5066951</v>
      </c>
      <c r="E93" s="9" t="s">
        <v>15</v>
      </c>
      <c r="F93" s="10">
        <v>200</v>
      </c>
      <c r="G93" s="11" t="s">
        <v>147</v>
      </c>
    </row>
    <row r="94" spans="2:7" x14ac:dyDescent="0.35">
      <c r="B94" s="6"/>
      <c r="C94" s="16" t="s">
        <v>144</v>
      </c>
      <c r="D94" s="17"/>
      <c r="E94" s="18"/>
      <c r="F94" s="19">
        <f>SUM(F93)</f>
        <v>200</v>
      </c>
      <c r="G94" s="20"/>
    </row>
    <row r="95" spans="2:7" x14ac:dyDescent="0.35">
      <c r="B95" s="6"/>
      <c r="C95" s="27" t="s">
        <v>125</v>
      </c>
      <c r="D95" s="28">
        <v>5065277</v>
      </c>
      <c r="E95" s="9" t="s">
        <v>15</v>
      </c>
      <c r="F95" s="10">
        <v>295</v>
      </c>
      <c r="G95" s="11"/>
    </row>
    <row r="96" spans="2:7" x14ac:dyDescent="0.35">
      <c r="B96" s="6"/>
      <c r="C96" s="7"/>
      <c r="D96" s="8"/>
      <c r="E96" s="9" t="s">
        <v>163</v>
      </c>
      <c r="F96" s="10">
        <v>295</v>
      </c>
      <c r="G96" s="11"/>
    </row>
    <row r="97" spans="2:7" x14ac:dyDescent="0.35">
      <c r="B97" s="6"/>
      <c r="C97" s="16" t="s">
        <v>126</v>
      </c>
      <c r="D97" s="17"/>
      <c r="E97" s="18"/>
      <c r="F97" s="19">
        <f>SUM(F95:F96)</f>
        <v>590</v>
      </c>
      <c r="G97" s="20"/>
    </row>
    <row r="98" spans="2:7" x14ac:dyDescent="0.35">
      <c r="B98" s="6"/>
      <c r="C98" s="7" t="s">
        <v>131</v>
      </c>
      <c r="D98" s="8">
        <v>5066546</v>
      </c>
      <c r="E98" s="9" t="s">
        <v>146</v>
      </c>
      <c r="F98" s="10">
        <v>1637</v>
      </c>
      <c r="G98" s="11"/>
    </row>
    <row r="99" spans="2:7" x14ac:dyDescent="0.35">
      <c r="B99" s="6"/>
      <c r="C99" s="16" t="s">
        <v>132</v>
      </c>
      <c r="D99" s="17"/>
      <c r="E99" s="18"/>
      <c r="F99" s="19">
        <f>SUM(F98)</f>
        <v>1637</v>
      </c>
      <c r="G99" s="20"/>
    </row>
    <row r="100" spans="2:7" x14ac:dyDescent="0.35">
      <c r="B100" s="6"/>
      <c r="C100" s="7" t="s">
        <v>266</v>
      </c>
      <c r="D100" s="8">
        <v>5066002</v>
      </c>
      <c r="E100" s="9" t="s">
        <v>136</v>
      </c>
      <c r="F100" s="10">
        <v>325</v>
      </c>
      <c r="G100" s="11"/>
    </row>
    <row r="101" spans="2:7" x14ac:dyDescent="0.35">
      <c r="B101" s="6"/>
      <c r="C101" s="16" t="s">
        <v>267</v>
      </c>
      <c r="D101" s="17"/>
      <c r="E101" s="18"/>
      <c r="F101" s="19">
        <f>SUM(F100)</f>
        <v>325</v>
      </c>
      <c r="G101" s="20"/>
    </row>
    <row r="102" spans="2:7" x14ac:dyDescent="0.35">
      <c r="B102" s="6"/>
      <c r="C102" s="7" t="s">
        <v>427</v>
      </c>
      <c r="D102" s="8">
        <v>5066416</v>
      </c>
      <c r="E102" s="9" t="s">
        <v>15</v>
      </c>
      <c r="F102" s="10">
        <v>909</v>
      </c>
      <c r="G102" s="11"/>
    </row>
    <row r="103" spans="2:7" x14ac:dyDescent="0.35">
      <c r="B103" s="6"/>
      <c r="C103" s="16" t="s">
        <v>428</v>
      </c>
      <c r="D103" s="17"/>
      <c r="E103" s="18"/>
      <c r="F103" s="19">
        <f>SUM(F102)</f>
        <v>909</v>
      </c>
      <c r="G103" s="20"/>
    </row>
    <row r="104" spans="2:7" x14ac:dyDescent="0.35">
      <c r="B104" s="6"/>
      <c r="C104" s="27" t="s">
        <v>258</v>
      </c>
      <c r="D104" s="28">
        <v>5065188</v>
      </c>
      <c r="E104" s="9" t="s">
        <v>178</v>
      </c>
      <c r="F104" s="10">
        <v>533</v>
      </c>
      <c r="G104" s="11"/>
    </row>
    <row r="105" spans="2:7" x14ac:dyDescent="0.35">
      <c r="B105" s="6"/>
      <c r="C105" s="27"/>
      <c r="D105" s="28"/>
      <c r="E105" s="9" t="s">
        <v>274</v>
      </c>
      <c r="F105" s="10">
        <v>506</v>
      </c>
      <c r="G105" s="11"/>
    </row>
    <row r="106" spans="2:7" x14ac:dyDescent="0.35">
      <c r="B106" s="6"/>
      <c r="C106" s="27"/>
      <c r="D106" s="28"/>
      <c r="E106" s="9" t="s">
        <v>179</v>
      </c>
      <c r="F106" s="10">
        <v>200</v>
      </c>
      <c r="G106" s="11"/>
    </row>
    <row r="107" spans="2:7" x14ac:dyDescent="0.35">
      <c r="B107" s="6"/>
      <c r="C107" s="27"/>
      <c r="D107" s="28"/>
      <c r="E107" s="9" t="s">
        <v>291</v>
      </c>
      <c r="F107" s="10">
        <v>549</v>
      </c>
      <c r="G107" s="11"/>
    </row>
    <row r="108" spans="2:7" x14ac:dyDescent="0.35">
      <c r="B108" s="6"/>
      <c r="C108" s="27"/>
      <c r="D108" s="28"/>
      <c r="E108" s="9" t="s">
        <v>180</v>
      </c>
      <c r="F108" s="10">
        <v>1263</v>
      </c>
      <c r="G108" s="11"/>
    </row>
    <row r="109" spans="2:7" x14ac:dyDescent="0.35">
      <c r="B109" s="6"/>
      <c r="C109" s="27"/>
      <c r="D109" s="28"/>
      <c r="E109" s="9" t="s">
        <v>292</v>
      </c>
      <c r="F109" s="10">
        <v>703</v>
      </c>
      <c r="G109" s="11"/>
    </row>
    <row r="110" spans="2:7" x14ac:dyDescent="0.35">
      <c r="B110" s="6"/>
      <c r="C110" s="27"/>
      <c r="D110" s="28"/>
      <c r="E110" s="9" t="s">
        <v>293</v>
      </c>
      <c r="F110" s="10">
        <v>1136</v>
      </c>
      <c r="G110" s="11"/>
    </row>
    <row r="111" spans="2:7" x14ac:dyDescent="0.35">
      <c r="B111" s="6"/>
      <c r="C111" s="7"/>
      <c r="D111" s="8">
        <v>5065189</v>
      </c>
      <c r="E111" s="9" t="s">
        <v>294</v>
      </c>
      <c r="F111" s="10">
        <v>432</v>
      </c>
      <c r="G111" s="11"/>
    </row>
    <row r="112" spans="2:7" x14ac:dyDescent="0.35">
      <c r="B112" s="6"/>
      <c r="C112" s="16" t="s">
        <v>259</v>
      </c>
      <c r="D112" s="17"/>
      <c r="E112" s="18"/>
      <c r="F112" s="19">
        <f>SUM(F104:F111)</f>
        <v>5322</v>
      </c>
      <c r="G112" s="20"/>
    </row>
    <row r="113" spans="2:7" x14ac:dyDescent="0.35">
      <c r="B113" s="6"/>
      <c r="C113" s="27" t="s">
        <v>295</v>
      </c>
      <c r="D113" s="28">
        <v>5064717</v>
      </c>
      <c r="E113" s="9" t="s">
        <v>178</v>
      </c>
      <c r="F113" s="10">
        <v>2411</v>
      </c>
      <c r="G113" s="11"/>
    </row>
    <row r="114" spans="2:7" x14ac:dyDescent="0.35">
      <c r="B114" s="6"/>
      <c r="C114" s="27"/>
      <c r="D114" s="28"/>
      <c r="E114" s="9" t="s">
        <v>274</v>
      </c>
      <c r="F114" s="10">
        <v>1588</v>
      </c>
      <c r="G114" s="11"/>
    </row>
    <row r="115" spans="2:7" x14ac:dyDescent="0.35">
      <c r="B115" s="6"/>
      <c r="C115" s="27"/>
      <c r="D115" s="28"/>
      <c r="E115" s="9" t="s">
        <v>179</v>
      </c>
      <c r="F115" s="10">
        <v>1047</v>
      </c>
      <c r="G115" s="11"/>
    </row>
    <row r="116" spans="2:7" x14ac:dyDescent="0.35">
      <c r="B116" s="6"/>
      <c r="C116" s="7"/>
      <c r="D116" s="8"/>
      <c r="E116" s="9" t="s">
        <v>291</v>
      </c>
      <c r="F116" s="10">
        <v>1718</v>
      </c>
      <c r="G116" s="11"/>
    </row>
    <row r="117" spans="2:7" x14ac:dyDescent="0.35">
      <c r="B117" s="6"/>
      <c r="C117" s="16" t="s">
        <v>296</v>
      </c>
      <c r="D117" s="17"/>
      <c r="E117" s="18"/>
      <c r="F117" s="19">
        <f>SUM(F113:F116)</f>
        <v>6764</v>
      </c>
      <c r="G117" s="20"/>
    </row>
    <row r="118" spans="2:7" x14ac:dyDescent="0.35">
      <c r="B118" s="6"/>
      <c r="C118" s="27" t="s">
        <v>297</v>
      </c>
      <c r="D118" s="28">
        <v>5065309</v>
      </c>
      <c r="E118" s="9" t="s">
        <v>178</v>
      </c>
      <c r="F118" s="10">
        <v>12</v>
      </c>
      <c r="G118" s="11" t="s">
        <v>147</v>
      </c>
    </row>
    <row r="119" spans="2:7" x14ac:dyDescent="0.35">
      <c r="B119" s="6"/>
      <c r="C119" s="27"/>
      <c r="D119" s="28"/>
      <c r="E119" s="9" t="s">
        <v>274</v>
      </c>
      <c r="F119" s="10">
        <v>24</v>
      </c>
      <c r="G119" s="11" t="s">
        <v>147</v>
      </c>
    </row>
    <row r="120" spans="2:7" x14ac:dyDescent="0.35">
      <c r="B120" s="6"/>
      <c r="C120" s="27"/>
      <c r="D120" s="28"/>
      <c r="E120" s="9" t="s">
        <v>179</v>
      </c>
      <c r="F120" s="10">
        <v>25</v>
      </c>
      <c r="G120" s="11" t="s">
        <v>147</v>
      </c>
    </row>
    <row r="121" spans="2:7" x14ac:dyDescent="0.35">
      <c r="B121" s="6"/>
      <c r="C121" s="27"/>
      <c r="D121" s="28"/>
      <c r="E121" s="9" t="s">
        <v>180</v>
      </c>
      <c r="F121" s="10">
        <v>24</v>
      </c>
      <c r="G121" s="11" t="s">
        <v>147</v>
      </c>
    </row>
    <row r="122" spans="2:7" x14ac:dyDescent="0.35">
      <c r="B122" s="6"/>
      <c r="C122" s="27"/>
      <c r="D122" s="28"/>
      <c r="E122" s="9" t="s">
        <v>181</v>
      </c>
      <c r="F122" s="10">
        <v>24</v>
      </c>
      <c r="G122" s="11" t="s">
        <v>147</v>
      </c>
    </row>
    <row r="123" spans="2:7" x14ac:dyDescent="0.35">
      <c r="B123" s="6"/>
      <c r="C123" s="7"/>
      <c r="D123" s="8"/>
      <c r="E123" s="9" t="s">
        <v>293</v>
      </c>
      <c r="F123" s="10">
        <v>602</v>
      </c>
      <c r="G123" s="11"/>
    </row>
    <row r="124" spans="2:7" x14ac:dyDescent="0.35">
      <c r="B124" s="6"/>
      <c r="C124" s="16" t="s">
        <v>298</v>
      </c>
      <c r="D124" s="17"/>
      <c r="E124" s="18"/>
      <c r="F124" s="19">
        <f>SUM(F118:F123)</f>
        <v>711</v>
      </c>
      <c r="G124" s="20"/>
    </row>
    <row r="125" spans="2:7" x14ac:dyDescent="0.35">
      <c r="B125" s="6"/>
      <c r="C125" s="27" t="s">
        <v>299</v>
      </c>
      <c r="D125" s="28">
        <v>5065191</v>
      </c>
      <c r="E125" s="9" t="s">
        <v>300</v>
      </c>
      <c r="F125" s="10">
        <v>1306</v>
      </c>
      <c r="G125" s="11"/>
    </row>
    <row r="126" spans="2:7" x14ac:dyDescent="0.35">
      <c r="B126" s="6"/>
      <c r="C126" s="27"/>
      <c r="D126" s="28"/>
      <c r="E126" s="9" t="s">
        <v>301</v>
      </c>
      <c r="F126" s="10">
        <v>881</v>
      </c>
      <c r="G126" s="11"/>
    </row>
    <row r="127" spans="2:7" x14ac:dyDescent="0.35">
      <c r="B127" s="6"/>
      <c r="C127" s="27"/>
      <c r="D127" s="28"/>
      <c r="E127" s="9" t="s">
        <v>145</v>
      </c>
      <c r="F127" s="10">
        <v>1411</v>
      </c>
      <c r="G127" s="11"/>
    </row>
    <row r="128" spans="2:7" x14ac:dyDescent="0.35">
      <c r="B128" s="6"/>
      <c r="C128" s="7"/>
      <c r="D128" s="8"/>
      <c r="E128" s="9" t="s">
        <v>302</v>
      </c>
      <c r="F128" s="10">
        <v>624</v>
      </c>
      <c r="G128" s="11"/>
    </row>
    <row r="129" spans="2:7" x14ac:dyDescent="0.35">
      <c r="B129" s="6"/>
      <c r="C129" s="16" t="s">
        <v>303</v>
      </c>
      <c r="D129" s="17"/>
      <c r="E129" s="18"/>
      <c r="F129" s="19">
        <f>SUM(F125:F128)</f>
        <v>4222</v>
      </c>
      <c r="G129" s="20"/>
    </row>
    <row r="130" spans="2:7" x14ac:dyDescent="0.35">
      <c r="B130" s="6"/>
      <c r="C130" s="27" t="s">
        <v>305</v>
      </c>
      <c r="D130" s="28">
        <v>5066425</v>
      </c>
      <c r="E130" s="9" t="s">
        <v>15</v>
      </c>
      <c r="F130" s="10">
        <v>1539</v>
      </c>
      <c r="G130" s="11"/>
    </row>
    <row r="131" spans="2:7" x14ac:dyDescent="0.35">
      <c r="B131" s="6"/>
      <c r="C131" s="27"/>
      <c r="D131" s="28"/>
      <c r="E131" s="9" t="s">
        <v>79</v>
      </c>
      <c r="F131" s="10">
        <v>200</v>
      </c>
      <c r="G131" s="11"/>
    </row>
    <row r="132" spans="2:7" x14ac:dyDescent="0.35">
      <c r="B132" s="6"/>
      <c r="C132" s="27"/>
      <c r="D132" s="28"/>
      <c r="E132" s="9" t="s">
        <v>20</v>
      </c>
      <c r="F132" s="10">
        <v>404</v>
      </c>
      <c r="G132" s="11"/>
    </row>
    <row r="133" spans="2:7" x14ac:dyDescent="0.35">
      <c r="B133" s="6"/>
      <c r="C133" s="27"/>
      <c r="D133" s="28"/>
      <c r="E133" s="9" t="s">
        <v>306</v>
      </c>
      <c r="F133" s="10">
        <v>400</v>
      </c>
      <c r="G133" s="11"/>
    </row>
    <row r="134" spans="2:7" x14ac:dyDescent="0.35">
      <c r="B134" s="6"/>
      <c r="C134" s="7"/>
      <c r="D134" s="8"/>
      <c r="E134" s="9" t="s">
        <v>264</v>
      </c>
      <c r="F134" s="10">
        <v>2195</v>
      </c>
      <c r="G134" s="11"/>
    </row>
    <row r="135" spans="2:7" x14ac:dyDescent="0.35">
      <c r="B135" s="6"/>
      <c r="C135" s="16" t="s">
        <v>307</v>
      </c>
      <c r="D135" s="17"/>
      <c r="E135" s="18"/>
      <c r="F135" s="19">
        <f>SUM(F130:F134)</f>
        <v>4738</v>
      </c>
      <c r="G135" s="20"/>
    </row>
    <row r="136" spans="2:7" x14ac:dyDescent="0.35">
      <c r="B136" s="6"/>
      <c r="C136" s="7" t="s">
        <v>125</v>
      </c>
      <c r="D136" s="8">
        <v>5064165</v>
      </c>
      <c r="E136" s="9" t="s">
        <v>54</v>
      </c>
      <c r="F136" s="10">
        <v>779</v>
      </c>
      <c r="G136" s="11"/>
    </row>
    <row r="137" spans="2:7" x14ac:dyDescent="0.35">
      <c r="B137" s="6"/>
      <c r="C137" s="16" t="s">
        <v>126</v>
      </c>
      <c r="D137" s="17"/>
      <c r="E137" s="18"/>
      <c r="F137" s="19">
        <f>SUM(F136)</f>
        <v>779</v>
      </c>
      <c r="G137" s="20"/>
    </row>
    <row r="138" spans="2:7" x14ac:dyDescent="0.35">
      <c r="B138" s="6"/>
      <c r="C138" s="27" t="s">
        <v>127</v>
      </c>
      <c r="D138" s="28">
        <v>5066110</v>
      </c>
      <c r="E138" s="9" t="s">
        <v>145</v>
      </c>
      <c r="F138" s="10">
        <v>673</v>
      </c>
      <c r="G138" s="11"/>
    </row>
    <row r="139" spans="2:7" x14ac:dyDescent="0.35">
      <c r="B139" s="6"/>
      <c r="C139" s="7"/>
      <c r="D139" s="8">
        <v>5066111</v>
      </c>
      <c r="E139" s="9" t="s">
        <v>308</v>
      </c>
      <c r="F139" s="10">
        <v>582</v>
      </c>
      <c r="G139" s="11"/>
    </row>
    <row r="140" spans="2:7" x14ac:dyDescent="0.35">
      <c r="B140" s="6"/>
      <c r="C140" s="16" t="s">
        <v>130</v>
      </c>
      <c r="D140" s="17"/>
      <c r="E140" s="18"/>
      <c r="F140" s="19">
        <f>SUM(F138:F139)</f>
        <v>1255</v>
      </c>
      <c r="G140" s="20"/>
    </row>
    <row r="141" spans="2:7" x14ac:dyDescent="0.35">
      <c r="B141" s="6"/>
      <c r="C141" s="27" t="s">
        <v>309</v>
      </c>
      <c r="D141" s="28">
        <v>5065226</v>
      </c>
      <c r="E141" s="9" t="s">
        <v>164</v>
      </c>
      <c r="F141" s="10">
        <v>1079</v>
      </c>
      <c r="G141" s="11" t="s">
        <v>321</v>
      </c>
    </row>
    <row r="142" spans="2:7" x14ac:dyDescent="0.35">
      <c r="B142" s="6"/>
      <c r="C142" s="27"/>
      <c r="D142" s="28"/>
      <c r="E142" s="9" t="s">
        <v>55</v>
      </c>
      <c r="F142" s="10">
        <v>846</v>
      </c>
      <c r="G142" s="11" t="s">
        <v>321</v>
      </c>
    </row>
    <row r="143" spans="2:7" x14ac:dyDescent="0.35">
      <c r="B143" s="6"/>
      <c r="C143" s="7"/>
      <c r="D143" s="8">
        <v>5065370</v>
      </c>
      <c r="E143" s="9" t="s">
        <v>146</v>
      </c>
      <c r="F143" s="10">
        <v>1206</v>
      </c>
      <c r="G143" s="11" t="s">
        <v>321</v>
      </c>
    </row>
    <row r="144" spans="2:7" x14ac:dyDescent="0.35">
      <c r="B144" s="6"/>
      <c r="C144" s="16" t="s">
        <v>310</v>
      </c>
      <c r="D144" s="17"/>
      <c r="E144" s="18"/>
      <c r="F144" s="19">
        <f>SUM(F141:F143)</f>
        <v>3131</v>
      </c>
      <c r="G144" s="20"/>
    </row>
    <row r="145" spans="2:7" x14ac:dyDescent="0.35">
      <c r="B145" s="6"/>
      <c r="C145" s="7" t="s">
        <v>311</v>
      </c>
      <c r="D145" s="8">
        <v>5065263</v>
      </c>
      <c r="E145" s="9" t="s">
        <v>66</v>
      </c>
      <c r="F145" s="10">
        <v>598</v>
      </c>
      <c r="G145" s="11" t="s">
        <v>321</v>
      </c>
    </row>
    <row r="146" spans="2:7" x14ac:dyDescent="0.35">
      <c r="B146" s="6"/>
      <c r="C146" s="16" t="s">
        <v>312</v>
      </c>
      <c r="D146" s="17"/>
      <c r="E146" s="18"/>
      <c r="F146" s="19">
        <f>SUM(F145)</f>
        <v>598</v>
      </c>
      <c r="G146" s="20"/>
    </row>
    <row r="147" spans="2:7" x14ac:dyDescent="0.35">
      <c r="B147" s="6"/>
      <c r="C147" s="7" t="s">
        <v>313</v>
      </c>
      <c r="D147" s="8">
        <v>5065999</v>
      </c>
      <c r="E147" s="9" t="s">
        <v>164</v>
      </c>
      <c r="F147" s="10">
        <v>1552</v>
      </c>
      <c r="G147" s="11" t="s">
        <v>321</v>
      </c>
    </row>
    <row r="148" spans="2:7" x14ac:dyDescent="0.35">
      <c r="B148" s="6"/>
      <c r="C148" s="16" t="s">
        <v>314</v>
      </c>
      <c r="D148" s="17"/>
      <c r="E148" s="18"/>
      <c r="F148" s="19">
        <f>SUM(F147)</f>
        <v>1552</v>
      </c>
      <c r="G148" s="20"/>
    </row>
    <row r="149" spans="2:7" x14ac:dyDescent="0.35">
      <c r="B149" s="6"/>
      <c r="C149" s="27" t="s">
        <v>315</v>
      </c>
      <c r="D149" s="28">
        <v>5065304</v>
      </c>
      <c r="E149" s="9" t="s">
        <v>178</v>
      </c>
      <c r="F149" s="10">
        <v>24</v>
      </c>
      <c r="G149" s="11" t="s">
        <v>147</v>
      </c>
    </row>
    <row r="150" spans="2:7" x14ac:dyDescent="0.35">
      <c r="B150" s="6"/>
      <c r="C150" s="27"/>
      <c r="D150" s="28"/>
      <c r="E150" s="9" t="s">
        <v>274</v>
      </c>
      <c r="F150" s="10">
        <v>24</v>
      </c>
      <c r="G150" s="11" t="s">
        <v>147</v>
      </c>
    </row>
    <row r="151" spans="2:7" x14ac:dyDescent="0.35">
      <c r="B151" s="6"/>
      <c r="C151" s="27"/>
      <c r="D151" s="28"/>
      <c r="E151" s="9" t="s">
        <v>179</v>
      </c>
      <c r="F151" s="10">
        <v>24</v>
      </c>
      <c r="G151" s="11" t="s">
        <v>147</v>
      </c>
    </row>
    <row r="152" spans="2:7" x14ac:dyDescent="0.35">
      <c r="B152" s="6"/>
      <c r="C152" s="27"/>
      <c r="D152" s="28"/>
      <c r="E152" s="9" t="s">
        <v>180</v>
      </c>
      <c r="F152" s="10">
        <v>24</v>
      </c>
      <c r="G152" s="11" t="s">
        <v>147</v>
      </c>
    </row>
    <row r="153" spans="2:7" x14ac:dyDescent="0.35">
      <c r="B153" s="6"/>
      <c r="C153" s="7"/>
      <c r="D153" s="8"/>
      <c r="E153" s="9" t="s">
        <v>181</v>
      </c>
      <c r="F153" s="10">
        <v>24</v>
      </c>
      <c r="G153" s="11" t="s">
        <v>147</v>
      </c>
    </row>
    <row r="154" spans="2:7" x14ac:dyDescent="0.35">
      <c r="B154" s="6"/>
      <c r="C154" s="16" t="s">
        <v>316</v>
      </c>
      <c r="D154" s="17"/>
      <c r="E154" s="18"/>
      <c r="F154" s="19">
        <f>SUM(F149:F153)</f>
        <v>120</v>
      </c>
      <c r="G154" s="20"/>
    </row>
    <row r="155" spans="2:7" x14ac:dyDescent="0.35">
      <c r="B155" s="6"/>
      <c r="C155" s="27" t="s">
        <v>317</v>
      </c>
      <c r="D155" s="28">
        <v>5065322</v>
      </c>
      <c r="E155" s="9" t="s">
        <v>178</v>
      </c>
      <c r="F155" s="10">
        <v>48</v>
      </c>
      <c r="G155" s="11" t="s">
        <v>147</v>
      </c>
    </row>
    <row r="156" spans="2:7" x14ac:dyDescent="0.35">
      <c r="B156" s="6"/>
      <c r="C156" s="27"/>
      <c r="D156" s="28"/>
      <c r="E156" s="9" t="s">
        <v>291</v>
      </c>
      <c r="F156" s="10">
        <v>48</v>
      </c>
      <c r="G156" s="11" t="s">
        <v>147</v>
      </c>
    </row>
    <row r="157" spans="2:7" x14ac:dyDescent="0.35">
      <c r="B157" s="6"/>
      <c r="C157" s="27"/>
      <c r="D157" s="28"/>
      <c r="E157" s="9" t="s">
        <v>180</v>
      </c>
      <c r="F157" s="10">
        <v>72</v>
      </c>
      <c r="G157" s="11" t="s">
        <v>147</v>
      </c>
    </row>
    <row r="158" spans="2:7" x14ac:dyDescent="0.35">
      <c r="B158" s="6"/>
      <c r="C158" s="27"/>
      <c r="D158" s="28"/>
      <c r="E158" s="9" t="s">
        <v>181</v>
      </c>
      <c r="F158" s="10">
        <v>72</v>
      </c>
      <c r="G158" s="11" t="s">
        <v>147</v>
      </c>
    </row>
    <row r="159" spans="2:7" x14ac:dyDescent="0.35">
      <c r="B159" s="6"/>
      <c r="C159" s="7"/>
      <c r="D159" s="8">
        <v>5066106</v>
      </c>
      <c r="E159" s="9" t="s">
        <v>294</v>
      </c>
      <c r="F159" s="10">
        <v>72</v>
      </c>
      <c r="G159" s="11" t="s">
        <v>147</v>
      </c>
    </row>
    <row r="160" spans="2:7" x14ac:dyDescent="0.35">
      <c r="B160" s="6"/>
      <c r="C160" s="16" t="s">
        <v>318</v>
      </c>
      <c r="D160" s="17"/>
      <c r="E160" s="18"/>
      <c r="F160" s="19">
        <f>SUM(F155:F159)</f>
        <v>312</v>
      </c>
      <c r="G160" s="20"/>
    </row>
    <row r="161" spans="2:7" x14ac:dyDescent="0.35">
      <c r="B161" s="6"/>
      <c r="C161" s="27" t="s">
        <v>319</v>
      </c>
      <c r="D161" s="28">
        <v>5065329</v>
      </c>
      <c r="E161" s="9" t="s">
        <v>178</v>
      </c>
      <c r="F161" s="10">
        <v>24</v>
      </c>
      <c r="G161" s="11" t="s">
        <v>147</v>
      </c>
    </row>
    <row r="162" spans="2:7" x14ac:dyDescent="0.35">
      <c r="B162" s="6"/>
      <c r="C162" s="27"/>
      <c r="D162" s="28"/>
      <c r="E162" s="9" t="s">
        <v>179</v>
      </c>
      <c r="F162" s="10">
        <v>30</v>
      </c>
      <c r="G162" s="11" t="s">
        <v>147</v>
      </c>
    </row>
    <row r="163" spans="2:7" x14ac:dyDescent="0.35">
      <c r="B163" s="6"/>
      <c r="C163" s="27"/>
      <c r="D163" s="28"/>
      <c r="E163" s="9" t="s">
        <v>180</v>
      </c>
      <c r="F163" s="10">
        <v>24</v>
      </c>
      <c r="G163" s="11" t="s">
        <v>147</v>
      </c>
    </row>
    <row r="164" spans="2:7" x14ac:dyDescent="0.35">
      <c r="B164" s="6"/>
      <c r="C164" s="7"/>
      <c r="D164" s="8"/>
      <c r="E164" s="9" t="s">
        <v>181</v>
      </c>
      <c r="F164" s="10">
        <v>24</v>
      </c>
      <c r="G164" s="11" t="s">
        <v>147</v>
      </c>
    </row>
    <row r="165" spans="2:7" x14ac:dyDescent="0.35">
      <c r="B165" s="6"/>
      <c r="C165" s="16" t="s">
        <v>320</v>
      </c>
      <c r="D165" s="17"/>
      <c r="E165" s="18"/>
      <c r="F165" s="19">
        <f>SUM(F161:F164)</f>
        <v>102</v>
      </c>
      <c r="G165" s="20"/>
    </row>
    <row r="166" spans="2:7" x14ac:dyDescent="0.35">
      <c r="B166" s="6"/>
      <c r="C166" s="7" t="s">
        <v>540</v>
      </c>
      <c r="D166" s="8">
        <v>5065264</v>
      </c>
      <c r="E166" s="9" t="s">
        <v>15</v>
      </c>
      <c r="F166" s="10">
        <v>734</v>
      </c>
      <c r="G166" s="11"/>
    </row>
    <row r="167" spans="2:7" x14ac:dyDescent="0.35">
      <c r="B167" s="29"/>
      <c r="C167" s="16" t="s">
        <v>541</v>
      </c>
      <c r="D167" s="17"/>
      <c r="E167" s="18"/>
      <c r="F167" s="19">
        <f>SUM(F166)</f>
        <v>734</v>
      </c>
      <c r="G167" s="20"/>
    </row>
    <row r="168" spans="2:7" x14ac:dyDescent="0.35">
      <c r="B168" s="22" t="s">
        <v>22</v>
      </c>
      <c r="C168" s="23"/>
      <c r="D168" s="24"/>
      <c r="E168" s="24"/>
      <c r="F168" s="25">
        <f>SUM(F167,F165,F160,F154,F148,F146,F144,F140,F137,F135,F129,F124,F117,F112,F103,F101,F99,F97,F94,F92,F90,F88,F86,F84,F82)</f>
        <v>45021</v>
      </c>
      <c r="G168" s="1"/>
    </row>
    <row r="170" spans="2:7" x14ac:dyDescent="0.35">
      <c r="B170" s="2" t="s">
        <v>1</v>
      </c>
      <c r="C170" s="2" t="s">
        <v>2</v>
      </c>
      <c r="D170" s="3" t="s">
        <v>3</v>
      </c>
      <c r="E170" s="2" t="s">
        <v>4</v>
      </c>
      <c r="F170" s="4" t="s">
        <v>5</v>
      </c>
      <c r="G170" s="5" t="s">
        <v>6</v>
      </c>
    </row>
    <row r="171" spans="2:7" x14ac:dyDescent="0.35">
      <c r="B171" s="47" t="s">
        <v>189</v>
      </c>
      <c r="C171" s="39">
        <v>101442</v>
      </c>
      <c r="D171" s="40">
        <v>4500000044</v>
      </c>
      <c r="E171" s="48" t="s">
        <v>190</v>
      </c>
      <c r="F171" s="10">
        <v>700</v>
      </c>
      <c r="G171" s="11"/>
    </row>
    <row r="172" spans="2:7" x14ac:dyDescent="0.35">
      <c r="B172" s="6"/>
      <c r="C172" s="16" t="s">
        <v>191</v>
      </c>
      <c r="D172" s="17"/>
      <c r="E172" s="18"/>
      <c r="F172" s="19">
        <f>SUM(F171)</f>
        <v>700</v>
      </c>
      <c r="G172" s="20"/>
    </row>
    <row r="173" spans="2:7" x14ac:dyDescent="0.35">
      <c r="B173" s="6"/>
      <c r="C173" s="7">
        <v>101447</v>
      </c>
      <c r="D173" s="8">
        <v>4500000044</v>
      </c>
      <c r="E173" s="9" t="s">
        <v>190</v>
      </c>
      <c r="F173" s="10">
        <v>700</v>
      </c>
      <c r="G173" s="11"/>
    </row>
    <row r="174" spans="2:7" x14ac:dyDescent="0.35">
      <c r="B174" s="29"/>
      <c r="C174" s="16" t="s">
        <v>192</v>
      </c>
      <c r="D174" s="17"/>
      <c r="E174" s="18"/>
      <c r="F174" s="19">
        <f>SUM(F173)</f>
        <v>700</v>
      </c>
      <c r="G174" s="20"/>
    </row>
    <row r="175" spans="2:7" x14ac:dyDescent="0.35">
      <c r="B175" s="22" t="s">
        <v>36</v>
      </c>
      <c r="C175" s="23"/>
      <c r="D175" s="24"/>
      <c r="E175" s="24"/>
      <c r="F175" s="25">
        <f>SUM(F174,F172)</f>
        <v>1400</v>
      </c>
      <c r="G175" s="1"/>
    </row>
    <row r="177" spans="2:7" x14ac:dyDescent="0.35">
      <c r="B177" s="2" t="s">
        <v>1</v>
      </c>
      <c r="C177" s="2" t="s">
        <v>2</v>
      </c>
      <c r="D177" s="3" t="s">
        <v>3</v>
      </c>
      <c r="E177" s="2" t="s">
        <v>4</v>
      </c>
      <c r="F177" s="4" t="s">
        <v>5</v>
      </c>
      <c r="G177" s="5" t="s">
        <v>6</v>
      </c>
    </row>
    <row r="178" spans="2:7" x14ac:dyDescent="0.35">
      <c r="B178" s="47" t="s">
        <v>34</v>
      </c>
      <c r="C178" s="27">
        <v>10155988</v>
      </c>
      <c r="D178" s="28">
        <v>4900010652</v>
      </c>
      <c r="E178" s="9" t="s">
        <v>165</v>
      </c>
      <c r="F178" s="10">
        <v>2200</v>
      </c>
      <c r="G178" s="11"/>
    </row>
    <row r="179" spans="2:7" x14ac:dyDescent="0.35">
      <c r="B179" s="6" t="s">
        <v>35</v>
      </c>
      <c r="C179" s="27"/>
      <c r="D179" s="28"/>
      <c r="E179" s="9" t="s">
        <v>193</v>
      </c>
      <c r="F179" s="10">
        <v>2200</v>
      </c>
      <c r="G179" s="11"/>
    </row>
    <row r="180" spans="2:7" x14ac:dyDescent="0.35">
      <c r="B180" s="6"/>
      <c r="C180" s="27"/>
      <c r="D180" s="28"/>
      <c r="E180" s="9" t="s">
        <v>194</v>
      </c>
      <c r="F180" s="10">
        <v>2000</v>
      </c>
      <c r="G180" s="11"/>
    </row>
    <row r="181" spans="2:7" x14ac:dyDescent="0.35">
      <c r="B181" s="6"/>
      <c r="C181" s="7"/>
      <c r="D181" s="8"/>
      <c r="E181" s="9" t="s">
        <v>195</v>
      </c>
      <c r="F181" s="10">
        <v>2200</v>
      </c>
      <c r="G181" s="11"/>
    </row>
    <row r="182" spans="2:7" x14ac:dyDescent="0.35">
      <c r="B182" s="6"/>
      <c r="C182" s="16" t="s">
        <v>196</v>
      </c>
      <c r="D182" s="17"/>
      <c r="E182" s="18"/>
      <c r="F182" s="19">
        <f>SUM(F178:F181)</f>
        <v>8600</v>
      </c>
      <c r="G182" s="20"/>
    </row>
    <row r="183" spans="2:7" x14ac:dyDescent="0.35">
      <c r="B183" s="6"/>
      <c r="C183" s="7">
        <v>10156006</v>
      </c>
      <c r="D183" s="8">
        <v>4900010655</v>
      </c>
      <c r="E183" s="9" t="s">
        <v>197</v>
      </c>
      <c r="F183" s="10">
        <v>2700</v>
      </c>
      <c r="G183" s="11"/>
    </row>
    <row r="184" spans="2:7" x14ac:dyDescent="0.35">
      <c r="B184" s="29"/>
      <c r="C184" s="16" t="s">
        <v>198</v>
      </c>
      <c r="D184" s="17"/>
      <c r="E184" s="18"/>
      <c r="F184" s="19">
        <f>SUM(F183)</f>
        <v>2700</v>
      </c>
      <c r="G184" s="20"/>
    </row>
    <row r="185" spans="2:7" x14ac:dyDescent="0.35">
      <c r="B185" s="22" t="s">
        <v>36</v>
      </c>
      <c r="C185" s="23"/>
      <c r="D185" s="24"/>
      <c r="E185" s="24"/>
      <c r="F185" s="25" t="e">
        <f>SUM(#REF!,F184,F182)</f>
        <v>#REF!</v>
      </c>
      <c r="G185" s="1"/>
    </row>
  </sheetData>
  <mergeCells count="3">
    <mergeCell ref="B2:G2"/>
    <mergeCell ref="I2:N2"/>
    <mergeCell ref="P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9763-06C2-439F-8809-7217E0F6E9E3}">
  <dimension ref="A2:U313"/>
  <sheetViews>
    <sheetView topLeftCell="A295" zoomScale="70" zoomScaleNormal="70" workbookViewId="0">
      <selection activeCell="C296" sqref="C296:G298"/>
    </sheetView>
  </sheetViews>
  <sheetFormatPr baseColWidth="10" defaultColWidth="11.453125" defaultRowHeight="14.5" x14ac:dyDescent="0.35"/>
  <cols>
    <col min="1" max="1" width="1.54296875" style="1" customWidth="1"/>
    <col min="2" max="2" width="9.7265625" style="1" customWidth="1"/>
    <col min="3" max="3" width="11.90625" style="26" customWidth="1"/>
    <col min="4" max="4" width="11.26953125" style="26" customWidth="1"/>
    <col min="5" max="5" width="21.1796875" style="1" customWidth="1"/>
    <col min="6" max="6" width="14" style="30" customWidth="1"/>
    <col min="7" max="7" width="11.453125" style="31"/>
    <col min="8" max="8" width="2.7265625" style="1" customWidth="1"/>
    <col min="9" max="9" width="10.6328125" style="1" customWidth="1"/>
    <col min="10" max="10" width="12.26953125" style="26" customWidth="1"/>
    <col min="11" max="11" width="13.7265625" style="26" customWidth="1"/>
    <col min="12" max="12" width="17.26953125" style="1" customWidth="1"/>
    <col min="13" max="13" width="14" style="30" customWidth="1"/>
    <col min="14" max="14" width="11.453125" style="1"/>
    <col min="15" max="15" width="1.7265625" style="1" customWidth="1"/>
    <col min="16" max="16" width="10.08984375" style="1" customWidth="1"/>
    <col min="17" max="17" width="11.6328125" style="26" customWidth="1"/>
    <col min="18" max="18" width="12.08984375" style="26" customWidth="1"/>
    <col min="19" max="19" width="17.26953125" style="1" customWidth="1"/>
    <col min="20" max="20" width="13" style="1" customWidth="1"/>
    <col min="21" max="16384" width="11.453125" style="1"/>
  </cols>
  <sheetData>
    <row r="2" spans="1:21" x14ac:dyDescent="0.35">
      <c r="B2" s="42" t="s">
        <v>0</v>
      </c>
      <c r="C2" s="43"/>
      <c r="D2" s="43"/>
      <c r="E2" s="43"/>
      <c r="F2" s="43"/>
      <c r="G2" s="44"/>
      <c r="I2" s="42" t="s">
        <v>0</v>
      </c>
      <c r="J2" s="43"/>
      <c r="K2" s="43"/>
      <c r="L2" s="43"/>
      <c r="M2" s="43"/>
      <c r="N2" s="44"/>
      <c r="P2" s="45" t="s">
        <v>0</v>
      </c>
      <c r="Q2" s="46"/>
      <c r="R2" s="46"/>
      <c r="S2" s="46"/>
      <c r="T2" s="46"/>
      <c r="U2" s="46"/>
    </row>
    <row r="4" spans="1:21" x14ac:dyDescent="0.35">
      <c r="B4" s="2" t="s">
        <v>1</v>
      </c>
      <c r="C4" s="2" t="s">
        <v>2</v>
      </c>
      <c r="D4" s="3" t="s">
        <v>3</v>
      </c>
      <c r="E4" s="2" t="s">
        <v>4</v>
      </c>
      <c r="F4" s="4" t="s">
        <v>5</v>
      </c>
      <c r="G4" s="5" t="s">
        <v>6</v>
      </c>
      <c r="I4" s="2" t="s">
        <v>1</v>
      </c>
      <c r="J4" s="2" t="s">
        <v>2</v>
      </c>
      <c r="K4" s="3" t="s">
        <v>3</v>
      </c>
      <c r="L4" s="2" t="s">
        <v>4</v>
      </c>
      <c r="M4" s="4" t="s">
        <v>5</v>
      </c>
      <c r="N4" s="5" t="s">
        <v>6</v>
      </c>
      <c r="P4" s="2" t="s">
        <v>1</v>
      </c>
      <c r="Q4" s="2" t="s">
        <v>2</v>
      </c>
      <c r="R4" s="3" t="s">
        <v>3</v>
      </c>
      <c r="S4" s="2" t="s">
        <v>4</v>
      </c>
      <c r="T4" s="4" t="s">
        <v>5</v>
      </c>
      <c r="U4" s="5" t="s">
        <v>6</v>
      </c>
    </row>
    <row r="5" spans="1:21" x14ac:dyDescent="0.35">
      <c r="B5" s="6" t="s">
        <v>7</v>
      </c>
      <c r="C5" s="7" t="s">
        <v>153</v>
      </c>
      <c r="D5" s="8">
        <v>5065148</v>
      </c>
      <c r="E5" s="9" t="s">
        <v>322</v>
      </c>
      <c r="F5" s="10">
        <v>973</v>
      </c>
      <c r="G5" s="11"/>
      <c r="I5" s="12" t="s">
        <v>8</v>
      </c>
      <c r="J5" s="35" t="s">
        <v>37</v>
      </c>
      <c r="K5" s="41" t="s">
        <v>74</v>
      </c>
      <c r="L5" s="13" t="s">
        <v>10</v>
      </c>
      <c r="M5" s="10">
        <v>700</v>
      </c>
      <c r="N5" s="14"/>
      <c r="P5" s="12" t="s">
        <v>25</v>
      </c>
      <c r="Q5" s="35" t="s">
        <v>47</v>
      </c>
      <c r="R5" s="32">
        <v>4416</v>
      </c>
      <c r="S5" s="13" t="s">
        <v>33</v>
      </c>
      <c r="T5" s="10">
        <v>700</v>
      </c>
      <c r="U5" s="14"/>
    </row>
    <row r="6" spans="1:21" x14ac:dyDescent="0.35">
      <c r="B6" s="6" t="s">
        <v>9</v>
      </c>
      <c r="C6" s="16" t="s">
        <v>157</v>
      </c>
      <c r="D6" s="17"/>
      <c r="E6" s="18"/>
      <c r="F6" s="19">
        <f>SUM(F5)</f>
        <v>973</v>
      </c>
      <c r="G6" s="20"/>
      <c r="I6" s="12"/>
      <c r="J6" s="35" t="s">
        <v>199</v>
      </c>
      <c r="K6" s="41" t="s">
        <v>200</v>
      </c>
      <c r="L6" s="13" t="s">
        <v>14</v>
      </c>
      <c r="M6" s="10">
        <v>200</v>
      </c>
      <c r="N6" s="14" t="s">
        <v>71</v>
      </c>
      <c r="P6" s="12"/>
      <c r="Q6" s="35" t="s">
        <v>47</v>
      </c>
      <c r="R6" s="32">
        <v>4416</v>
      </c>
      <c r="S6" s="13" t="s">
        <v>23</v>
      </c>
      <c r="T6" s="10">
        <v>700</v>
      </c>
      <c r="U6" s="14"/>
    </row>
    <row r="7" spans="1:21" x14ac:dyDescent="0.35">
      <c r="B7" s="6"/>
      <c r="C7" s="7" t="s">
        <v>323</v>
      </c>
      <c r="D7" s="8">
        <v>5064716</v>
      </c>
      <c r="E7" s="9" t="s">
        <v>291</v>
      </c>
      <c r="F7" s="10">
        <v>650</v>
      </c>
      <c r="G7" s="11"/>
      <c r="I7" s="12"/>
      <c r="J7" s="35" t="s">
        <v>230</v>
      </c>
      <c r="K7" s="41" t="s">
        <v>231</v>
      </c>
      <c r="L7" s="13" t="s">
        <v>10</v>
      </c>
      <c r="M7" s="10">
        <v>1000</v>
      </c>
      <c r="N7" s="14"/>
      <c r="P7" s="12"/>
      <c r="Q7" s="35" t="s">
        <v>116</v>
      </c>
      <c r="R7" s="32">
        <v>4416</v>
      </c>
      <c r="S7" s="13" t="s">
        <v>32</v>
      </c>
      <c r="T7" s="10">
        <v>700</v>
      </c>
      <c r="U7" s="14"/>
    </row>
    <row r="8" spans="1:21" x14ac:dyDescent="0.35">
      <c r="B8" s="6"/>
      <c r="C8" s="16" t="s">
        <v>324</v>
      </c>
      <c r="D8" s="17"/>
      <c r="E8" s="18"/>
      <c r="F8" s="19">
        <f>SUM(F7)</f>
        <v>650</v>
      </c>
      <c r="G8" s="20"/>
      <c r="I8" s="7"/>
      <c r="J8" s="35" t="s">
        <v>232</v>
      </c>
      <c r="K8" s="41" t="s">
        <v>233</v>
      </c>
      <c r="L8" s="13" t="s">
        <v>38</v>
      </c>
      <c r="M8" s="10">
        <v>1000</v>
      </c>
      <c r="N8" s="14"/>
      <c r="P8" s="12"/>
      <c r="Q8" s="35" t="s">
        <v>31</v>
      </c>
      <c r="R8" s="32">
        <v>4416</v>
      </c>
      <c r="S8" s="13" t="s">
        <v>33</v>
      </c>
      <c r="T8" s="10">
        <v>535</v>
      </c>
      <c r="U8" s="14" t="s">
        <v>214</v>
      </c>
    </row>
    <row r="9" spans="1:21" x14ac:dyDescent="0.35">
      <c r="B9" s="6"/>
      <c r="C9" s="27" t="s">
        <v>256</v>
      </c>
      <c r="D9" s="28">
        <v>5065773</v>
      </c>
      <c r="E9" s="9" t="s">
        <v>325</v>
      </c>
      <c r="F9" s="10">
        <v>1261</v>
      </c>
      <c r="G9" s="11"/>
      <c r="I9" s="22" t="s">
        <v>29</v>
      </c>
      <c r="J9" s="23"/>
      <c r="K9" s="24"/>
      <c r="L9" s="24"/>
      <c r="M9" s="25">
        <f>SUM(M5:M8)</f>
        <v>2900</v>
      </c>
      <c r="N9"/>
      <c r="P9" s="12"/>
      <c r="Q9" s="35" t="s">
        <v>31</v>
      </c>
      <c r="R9" s="32">
        <v>4416</v>
      </c>
      <c r="S9" s="13" t="s">
        <v>23</v>
      </c>
      <c r="T9" s="10">
        <v>700</v>
      </c>
      <c r="U9" s="14"/>
    </row>
    <row r="10" spans="1:21" x14ac:dyDescent="0.35">
      <c r="B10" s="6"/>
      <c r="C10" s="27"/>
      <c r="D10" s="28"/>
      <c r="E10" s="9" t="s">
        <v>15</v>
      </c>
      <c r="F10" s="10">
        <v>1877</v>
      </c>
      <c r="G10" s="11"/>
      <c r="M10" s="1"/>
      <c r="P10" s="12"/>
      <c r="Q10" s="35" t="s">
        <v>45</v>
      </c>
      <c r="R10" s="32">
        <v>4416</v>
      </c>
      <c r="S10" s="13" t="s">
        <v>23</v>
      </c>
      <c r="T10" s="10">
        <v>700</v>
      </c>
      <c r="U10" s="14"/>
    </row>
    <row r="11" spans="1:21" x14ac:dyDescent="0.35">
      <c r="B11" s="6"/>
      <c r="C11" s="27"/>
      <c r="D11" s="28"/>
      <c r="E11" s="9" t="s">
        <v>327</v>
      </c>
      <c r="F11" s="10">
        <v>1610</v>
      </c>
      <c r="G11" s="11"/>
      <c r="I11" s="2" t="s">
        <v>1</v>
      </c>
      <c r="J11" s="2" t="s">
        <v>2</v>
      </c>
      <c r="K11" s="3" t="s">
        <v>3</v>
      </c>
      <c r="L11" s="2" t="s">
        <v>4</v>
      </c>
      <c r="M11" s="4" t="s">
        <v>5</v>
      </c>
      <c r="N11" s="5" t="s">
        <v>6</v>
      </c>
      <c r="P11" s="12"/>
      <c r="Q11" s="35" t="s">
        <v>45</v>
      </c>
      <c r="R11" s="32">
        <v>4416</v>
      </c>
      <c r="S11" s="13" t="s">
        <v>24</v>
      </c>
      <c r="T11" s="32">
        <v>700</v>
      </c>
      <c r="U11" s="14"/>
    </row>
    <row r="12" spans="1:21" x14ac:dyDescent="0.35">
      <c r="A12" s="1" t="s">
        <v>80</v>
      </c>
      <c r="B12" s="6"/>
      <c r="C12" s="27"/>
      <c r="D12" s="28"/>
      <c r="E12" s="9" t="s">
        <v>328</v>
      </c>
      <c r="F12" s="10">
        <v>218</v>
      </c>
      <c r="G12" s="11"/>
      <c r="I12" s="12" t="s">
        <v>234</v>
      </c>
      <c r="J12" s="35" t="s">
        <v>236</v>
      </c>
      <c r="K12" s="41" t="s">
        <v>237</v>
      </c>
      <c r="L12" s="13" t="s">
        <v>10</v>
      </c>
      <c r="M12" s="10">
        <v>524</v>
      </c>
      <c r="N12" s="14"/>
      <c r="P12" s="12"/>
      <c r="Q12" s="35" t="s">
        <v>45</v>
      </c>
      <c r="R12" s="32">
        <v>4416</v>
      </c>
      <c r="S12" s="13" t="s">
        <v>32</v>
      </c>
      <c r="T12" s="32">
        <v>700</v>
      </c>
      <c r="U12" s="14"/>
    </row>
    <row r="13" spans="1:21" x14ac:dyDescent="0.35">
      <c r="B13" s="6"/>
      <c r="C13" s="27"/>
      <c r="D13" s="28"/>
      <c r="E13" s="9" t="s">
        <v>54</v>
      </c>
      <c r="F13" s="10">
        <v>325</v>
      </c>
      <c r="G13" s="11"/>
      <c r="I13" s="12"/>
      <c r="J13" s="35" t="s">
        <v>236</v>
      </c>
      <c r="K13" s="41" t="s">
        <v>238</v>
      </c>
      <c r="L13" s="13" t="s">
        <v>63</v>
      </c>
      <c r="M13" s="10">
        <v>571</v>
      </c>
      <c r="N13" s="14"/>
      <c r="P13" s="12"/>
      <c r="Q13" s="35" t="s">
        <v>45</v>
      </c>
      <c r="R13" s="32">
        <v>4416</v>
      </c>
      <c r="S13" s="13" t="s">
        <v>17</v>
      </c>
      <c r="T13" s="32">
        <v>700</v>
      </c>
      <c r="U13" s="14"/>
    </row>
    <row r="14" spans="1:21" x14ac:dyDescent="0.35">
      <c r="B14" s="6"/>
      <c r="C14" s="27"/>
      <c r="D14" s="28"/>
      <c r="E14" s="9" t="s">
        <v>55</v>
      </c>
      <c r="F14" s="10">
        <v>842</v>
      </c>
      <c r="G14" s="11"/>
      <c r="I14" s="12"/>
      <c r="J14" s="35" t="s">
        <v>236</v>
      </c>
      <c r="K14" s="41" t="s">
        <v>239</v>
      </c>
      <c r="L14" s="13" t="s">
        <v>38</v>
      </c>
      <c r="M14" s="10">
        <v>497</v>
      </c>
      <c r="N14" s="14"/>
      <c r="P14" s="12"/>
      <c r="Q14" s="35" t="s">
        <v>48</v>
      </c>
      <c r="R14" s="32">
        <v>4416</v>
      </c>
      <c r="S14" s="13" t="s">
        <v>33</v>
      </c>
      <c r="T14" s="32">
        <v>700</v>
      </c>
      <c r="U14" s="14"/>
    </row>
    <row r="15" spans="1:21" x14ac:dyDescent="0.35">
      <c r="B15" s="6"/>
      <c r="C15" s="7"/>
      <c r="D15" s="8">
        <v>5067405</v>
      </c>
      <c r="E15" s="9" t="s">
        <v>20</v>
      </c>
      <c r="F15" s="10">
        <v>1331</v>
      </c>
      <c r="G15" s="11"/>
      <c r="I15" s="12"/>
      <c r="J15" s="35" t="s">
        <v>236</v>
      </c>
      <c r="K15" s="41" t="s">
        <v>240</v>
      </c>
      <c r="L15" s="13" t="s">
        <v>241</v>
      </c>
      <c r="M15" s="10">
        <v>429</v>
      </c>
      <c r="N15" s="14"/>
      <c r="P15" s="12"/>
      <c r="Q15" s="35" t="s">
        <v>48</v>
      </c>
      <c r="R15" s="32">
        <v>4416</v>
      </c>
      <c r="S15" s="13" t="s">
        <v>44</v>
      </c>
      <c r="T15" s="32">
        <v>700</v>
      </c>
      <c r="U15" s="14"/>
    </row>
    <row r="16" spans="1:21" x14ac:dyDescent="0.35">
      <c r="B16" s="6"/>
      <c r="C16" s="16" t="s">
        <v>257</v>
      </c>
      <c r="D16" s="17"/>
      <c r="E16" s="18"/>
      <c r="F16" s="19">
        <f>SUM(F9:F15)</f>
        <v>7464</v>
      </c>
      <c r="G16" s="20"/>
      <c r="I16" s="12"/>
      <c r="J16" s="35" t="s">
        <v>236</v>
      </c>
      <c r="K16" s="41" t="s">
        <v>242</v>
      </c>
      <c r="L16" s="13" t="s">
        <v>243</v>
      </c>
      <c r="M16" s="10">
        <v>377</v>
      </c>
      <c r="N16" s="14"/>
      <c r="P16" s="12"/>
      <c r="Q16" s="35" t="s">
        <v>46</v>
      </c>
      <c r="R16" s="32">
        <v>4416</v>
      </c>
      <c r="S16" s="13" t="s">
        <v>24</v>
      </c>
      <c r="T16" s="32">
        <v>700</v>
      </c>
      <c r="U16" s="14"/>
    </row>
    <row r="17" spans="2:21" x14ac:dyDescent="0.35">
      <c r="B17" s="6"/>
      <c r="C17" s="27" t="s">
        <v>299</v>
      </c>
      <c r="D17" s="28">
        <v>5065192</v>
      </c>
      <c r="E17" s="9" t="s">
        <v>329</v>
      </c>
      <c r="F17" s="10">
        <v>629</v>
      </c>
      <c r="G17" s="11"/>
      <c r="I17" s="12"/>
      <c r="J17" s="35" t="s">
        <v>244</v>
      </c>
      <c r="K17" s="41" t="s">
        <v>245</v>
      </c>
      <c r="L17" s="13" t="s">
        <v>246</v>
      </c>
      <c r="M17" s="10">
        <v>494</v>
      </c>
      <c r="N17" s="14"/>
      <c r="P17" s="12"/>
      <c r="Q17" s="35" t="s">
        <v>46</v>
      </c>
      <c r="R17" s="32">
        <v>4416</v>
      </c>
      <c r="S17" s="13" t="s">
        <v>44</v>
      </c>
      <c r="T17" s="32">
        <v>700</v>
      </c>
      <c r="U17" s="14"/>
    </row>
    <row r="18" spans="2:21" x14ac:dyDescent="0.35">
      <c r="B18" s="6"/>
      <c r="C18" s="7"/>
      <c r="D18" s="8">
        <v>5065940</v>
      </c>
      <c r="E18" s="9" t="s">
        <v>330</v>
      </c>
      <c r="F18" s="10">
        <v>840</v>
      </c>
      <c r="G18" s="11"/>
      <c r="I18" s="12"/>
      <c r="J18" s="35" t="s">
        <v>244</v>
      </c>
      <c r="K18" s="41" t="s">
        <v>247</v>
      </c>
      <c r="L18" s="13" t="s">
        <v>248</v>
      </c>
      <c r="M18" s="10">
        <v>564</v>
      </c>
      <c r="N18" s="14"/>
      <c r="P18" s="12"/>
      <c r="Q18" s="35" t="s">
        <v>46</v>
      </c>
      <c r="R18" s="32">
        <v>4416</v>
      </c>
      <c r="S18" s="13" t="s">
        <v>32</v>
      </c>
      <c r="T18" s="32">
        <v>700</v>
      </c>
      <c r="U18" s="14"/>
    </row>
    <row r="19" spans="2:21" x14ac:dyDescent="0.35">
      <c r="B19" s="6"/>
      <c r="C19" s="16" t="s">
        <v>303</v>
      </c>
      <c r="D19" s="17"/>
      <c r="E19" s="18"/>
      <c r="F19" s="19">
        <f>SUM(F17:F18)</f>
        <v>1469</v>
      </c>
      <c r="G19" s="20"/>
      <c r="I19" s="12"/>
      <c r="J19" s="35" t="s">
        <v>249</v>
      </c>
      <c r="K19" s="41" t="s">
        <v>250</v>
      </c>
      <c r="L19" s="13" t="s">
        <v>38</v>
      </c>
      <c r="M19" s="10">
        <v>433</v>
      </c>
      <c r="N19" s="14"/>
      <c r="P19" s="12"/>
      <c r="Q19" s="35" t="s">
        <v>46</v>
      </c>
      <c r="R19" s="32">
        <v>4416</v>
      </c>
      <c r="S19" s="13" t="s">
        <v>23</v>
      </c>
      <c r="T19" s="32">
        <v>700</v>
      </c>
      <c r="U19" s="14"/>
    </row>
    <row r="20" spans="2:21" ht="14.25" customHeight="1" x14ac:dyDescent="0.35">
      <c r="B20" s="6"/>
      <c r="C20" s="27" t="s">
        <v>331</v>
      </c>
      <c r="D20" s="28">
        <v>5065317</v>
      </c>
      <c r="E20" s="9" t="s">
        <v>301</v>
      </c>
      <c r="F20" s="10">
        <v>25</v>
      </c>
      <c r="G20" s="11" t="s">
        <v>147</v>
      </c>
      <c r="I20" s="12"/>
      <c r="J20" s="35" t="s">
        <v>249</v>
      </c>
      <c r="K20" s="41" t="s">
        <v>251</v>
      </c>
      <c r="L20" s="13" t="s">
        <v>241</v>
      </c>
      <c r="M20" s="10">
        <v>310</v>
      </c>
      <c r="N20" s="14"/>
      <c r="P20" s="12"/>
      <c r="Q20" s="35" t="s">
        <v>52</v>
      </c>
      <c r="R20" s="32">
        <v>4416</v>
      </c>
      <c r="S20" s="13" t="s">
        <v>23</v>
      </c>
      <c r="T20" s="32">
        <v>700</v>
      </c>
      <c r="U20" s="14"/>
    </row>
    <row r="21" spans="2:21" x14ac:dyDescent="0.35">
      <c r="B21" s="6"/>
      <c r="C21" s="7"/>
      <c r="D21" s="8"/>
      <c r="E21" s="9" t="s">
        <v>332</v>
      </c>
      <c r="F21" s="10">
        <v>602</v>
      </c>
      <c r="G21" s="11"/>
      <c r="I21" s="12"/>
      <c r="J21" s="35" t="s">
        <v>249</v>
      </c>
      <c r="K21" s="41" t="s">
        <v>252</v>
      </c>
      <c r="L21" s="13" t="s">
        <v>63</v>
      </c>
      <c r="M21" s="10">
        <v>276</v>
      </c>
      <c r="N21" s="14"/>
      <c r="P21" s="12"/>
      <c r="Q21" s="35" t="s">
        <v>52</v>
      </c>
      <c r="R21" s="32">
        <v>4416</v>
      </c>
      <c r="S21" s="13" t="s">
        <v>44</v>
      </c>
      <c r="T21" s="32">
        <v>700</v>
      </c>
      <c r="U21" s="14"/>
    </row>
    <row r="22" spans="2:21" x14ac:dyDescent="0.35">
      <c r="B22" s="6"/>
      <c r="C22" s="16" t="s">
        <v>333</v>
      </c>
      <c r="D22" s="17"/>
      <c r="E22" s="18"/>
      <c r="F22" s="19">
        <f>SUM(F20:F21)</f>
        <v>627</v>
      </c>
      <c r="G22" s="20"/>
      <c r="I22" s="12"/>
      <c r="J22" s="35" t="s">
        <v>253</v>
      </c>
      <c r="K22" s="41" t="s">
        <v>254</v>
      </c>
      <c r="L22" s="13" t="s">
        <v>248</v>
      </c>
      <c r="M22" s="10">
        <v>447</v>
      </c>
      <c r="N22" s="14"/>
      <c r="P22" s="12"/>
      <c r="Q22" s="35" t="s">
        <v>52</v>
      </c>
      <c r="R22" s="32">
        <v>4416</v>
      </c>
      <c r="S22" s="13" t="s">
        <v>24</v>
      </c>
      <c r="T22" s="32">
        <v>700</v>
      </c>
      <c r="U22" s="14"/>
    </row>
    <row r="23" spans="2:21" x14ac:dyDescent="0.35">
      <c r="B23" s="6"/>
      <c r="C23" s="27" t="s">
        <v>334</v>
      </c>
      <c r="D23" s="28">
        <v>5065321</v>
      </c>
      <c r="E23" s="9" t="s">
        <v>160</v>
      </c>
      <c r="F23" s="10">
        <v>602</v>
      </c>
      <c r="G23" s="11"/>
      <c r="I23" s="7"/>
      <c r="J23" s="35" t="s">
        <v>253</v>
      </c>
      <c r="K23" s="41" t="s">
        <v>255</v>
      </c>
      <c r="L23" s="13" t="s">
        <v>246</v>
      </c>
      <c r="M23" s="10">
        <v>401</v>
      </c>
      <c r="N23" s="14"/>
      <c r="P23" s="12"/>
      <c r="Q23" s="35" t="s">
        <v>52</v>
      </c>
      <c r="R23" s="32">
        <v>4416</v>
      </c>
      <c r="S23" s="13" t="s">
        <v>32</v>
      </c>
      <c r="T23" s="32">
        <v>700</v>
      </c>
      <c r="U23" s="14"/>
    </row>
    <row r="24" spans="2:21" ht="14.25" customHeight="1" x14ac:dyDescent="0.35">
      <c r="B24" s="6"/>
      <c r="C24" s="7"/>
      <c r="D24" s="8"/>
      <c r="E24" s="9" t="s">
        <v>162</v>
      </c>
      <c r="F24" s="10">
        <v>578</v>
      </c>
      <c r="G24" s="11"/>
      <c r="I24" s="22" t="s">
        <v>235</v>
      </c>
      <c r="J24" s="23"/>
      <c r="K24" s="24"/>
      <c r="L24" s="24"/>
      <c r="M24" s="25">
        <f>SUM(M12:M23)</f>
        <v>5323</v>
      </c>
      <c r="N24"/>
      <c r="P24" s="12"/>
      <c r="Q24" s="35" t="s">
        <v>53</v>
      </c>
      <c r="R24" s="32">
        <v>4416</v>
      </c>
      <c r="S24" s="13" t="s">
        <v>24</v>
      </c>
      <c r="T24" s="32">
        <v>700</v>
      </c>
      <c r="U24" s="14"/>
    </row>
    <row r="25" spans="2:21" ht="13.5" customHeight="1" x14ac:dyDescent="0.35">
      <c r="B25" s="6"/>
      <c r="C25" s="16" t="s">
        <v>335</v>
      </c>
      <c r="D25" s="17"/>
      <c r="E25" s="18"/>
      <c r="F25" s="19">
        <f>SUM(F23:F24)</f>
        <v>1180</v>
      </c>
      <c r="G25" s="20"/>
      <c r="P25" s="12"/>
      <c r="Q25" s="35" t="s">
        <v>53</v>
      </c>
      <c r="R25" s="32">
        <v>4416</v>
      </c>
      <c r="S25" s="13" t="s">
        <v>32</v>
      </c>
      <c r="T25" s="32">
        <v>700</v>
      </c>
      <c r="U25" s="14"/>
    </row>
    <row r="26" spans="2:21" ht="14.25" customHeight="1" x14ac:dyDescent="0.35">
      <c r="B26" s="6"/>
      <c r="C26" s="7" t="s">
        <v>336</v>
      </c>
      <c r="D26" s="8">
        <v>5065777</v>
      </c>
      <c r="E26" s="9" t="s">
        <v>337</v>
      </c>
      <c r="F26" s="10">
        <v>2055</v>
      </c>
      <c r="G26" s="11"/>
      <c r="I26" s="2" t="s">
        <v>1</v>
      </c>
      <c r="J26" s="2" t="s">
        <v>2</v>
      </c>
      <c r="K26" s="3" t="s">
        <v>3</v>
      </c>
      <c r="L26" s="2" t="s">
        <v>4</v>
      </c>
      <c r="M26" s="4" t="s">
        <v>5</v>
      </c>
      <c r="N26" s="5" t="s">
        <v>6</v>
      </c>
      <c r="P26" s="12"/>
      <c r="Q26" s="35" t="s">
        <v>53</v>
      </c>
      <c r="R26" s="32">
        <v>4416</v>
      </c>
      <c r="S26" s="13" t="s">
        <v>23</v>
      </c>
      <c r="T26" s="32">
        <v>700</v>
      </c>
      <c r="U26" s="14"/>
    </row>
    <row r="27" spans="2:21" x14ac:dyDescent="0.35">
      <c r="B27" s="6"/>
      <c r="C27" s="16" t="s">
        <v>338</v>
      </c>
      <c r="D27" s="17"/>
      <c r="E27" s="18"/>
      <c r="F27" s="19">
        <f>SUM(F26)</f>
        <v>2055</v>
      </c>
      <c r="G27" s="20"/>
      <c r="I27" s="12" t="s">
        <v>42</v>
      </c>
      <c r="J27" s="35" t="s">
        <v>97</v>
      </c>
      <c r="K27" s="32" t="s">
        <v>98</v>
      </c>
      <c r="L27" s="13" t="s">
        <v>38</v>
      </c>
      <c r="M27" s="10">
        <v>757</v>
      </c>
      <c r="N27" s="14"/>
      <c r="P27" s="12"/>
      <c r="Q27" s="35" t="s">
        <v>78</v>
      </c>
      <c r="R27" s="32">
        <v>4416</v>
      </c>
      <c r="S27" s="13" t="s">
        <v>117</v>
      </c>
      <c r="T27" s="32">
        <v>1116</v>
      </c>
      <c r="U27" s="14"/>
    </row>
    <row r="28" spans="2:21" x14ac:dyDescent="0.35">
      <c r="B28" s="6"/>
      <c r="C28" s="7" t="s">
        <v>339</v>
      </c>
      <c r="D28" s="8">
        <v>5065336</v>
      </c>
      <c r="E28" s="9" t="s">
        <v>340</v>
      </c>
      <c r="F28" s="10">
        <v>200</v>
      </c>
      <c r="G28" s="11"/>
      <c r="I28" s="12" t="s">
        <v>43</v>
      </c>
      <c r="J28" s="35" t="s">
        <v>97</v>
      </c>
      <c r="K28" s="32" t="s">
        <v>223</v>
      </c>
      <c r="L28" s="13" t="s">
        <v>38</v>
      </c>
      <c r="M28" s="10">
        <v>750</v>
      </c>
      <c r="N28" s="14" t="s">
        <v>216</v>
      </c>
      <c r="P28" s="12"/>
      <c r="Q28" s="35" t="s">
        <v>118</v>
      </c>
      <c r="R28" s="32">
        <v>4416</v>
      </c>
      <c r="S28" s="13" t="s">
        <v>117</v>
      </c>
      <c r="T28" s="32">
        <v>600</v>
      </c>
      <c r="U28" s="14"/>
    </row>
    <row r="29" spans="2:21" ht="15" customHeight="1" x14ac:dyDescent="0.35">
      <c r="B29" s="6"/>
      <c r="C29" s="16" t="s">
        <v>341</v>
      </c>
      <c r="D29" s="17"/>
      <c r="E29" s="18"/>
      <c r="F29" s="19">
        <f>SUM(F28)</f>
        <v>200</v>
      </c>
      <c r="G29" s="20"/>
      <c r="I29" s="7"/>
      <c r="J29" s="35" t="s">
        <v>97</v>
      </c>
      <c r="K29" s="32" t="s">
        <v>224</v>
      </c>
      <c r="L29" s="13" t="s">
        <v>38</v>
      </c>
      <c r="M29" s="10">
        <v>7</v>
      </c>
      <c r="N29" s="14" t="s">
        <v>216</v>
      </c>
      <c r="P29" s="12"/>
      <c r="Q29" s="35" t="s">
        <v>78</v>
      </c>
      <c r="R29" s="32">
        <v>4416</v>
      </c>
      <c r="S29" s="13" t="s">
        <v>23</v>
      </c>
      <c r="T29" s="32">
        <v>700</v>
      </c>
      <c r="U29" s="14"/>
    </row>
    <row r="30" spans="2:21" ht="15" customHeight="1" x14ac:dyDescent="0.35">
      <c r="B30" s="6"/>
      <c r="C30" s="7" t="s">
        <v>342</v>
      </c>
      <c r="D30" s="8">
        <v>5066028</v>
      </c>
      <c r="E30" s="9" t="s">
        <v>343</v>
      </c>
      <c r="F30" s="10">
        <v>253</v>
      </c>
      <c r="G30" s="11"/>
      <c r="I30" s="22" t="s">
        <v>94</v>
      </c>
      <c r="J30" s="23"/>
      <c r="K30" s="24"/>
      <c r="L30" s="24"/>
      <c r="M30" s="25">
        <f>SUM(M27:M29)</f>
        <v>1514</v>
      </c>
      <c r="N30"/>
      <c r="P30" s="12"/>
      <c r="Q30" s="35" t="s">
        <v>118</v>
      </c>
      <c r="R30" s="32">
        <v>4416</v>
      </c>
      <c r="S30" s="13" t="s">
        <v>23</v>
      </c>
      <c r="T30" s="32">
        <v>700</v>
      </c>
      <c r="U30" s="14"/>
    </row>
    <row r="31" spans="2:21" x14ac:dyDescent="0.35">
      <c r="B31" s="6"/>
      <c r="C31" s="16" t="s">
        <v>344</v>
      </c>
      <c r="D31" s="17"/>
      <c r="E31" s="18"/>
      <c r="F31" s="19">
        <f>SUM(F30)</f>
        <v>253</v>
      </c>
      <c r="G31" s="20"/>
      <c r="P31" s="7"/>
      <c r="Q31" s="35" t="s">
        <v>118</v>
      </c>
      <c r="R31" s="32">
        <v>4416</v>
      </c>
      <c r="S31" s="13" t="s">
        <v>24</v>
      </c>
      <c r="T31" s="32">
        <v>700</v>
      </c>
      <c r="U31" s="14"/>
    </row>
    <row r="32" spans="2:21" ht="14.25" customHeight="1" x14ac:dyDescent="0.35">
      <c r="B32" s="6"/>
      <c r="C32" s="27" t="s">
        <v>345</v>
      </c>
      <c r="D32" s="28" t="s">
        <v>346</v>
      </c>
      <c r="E32" s="9" t="s">
        <v>79</v>
      </c>
      <c r="F32" s="10">
        <v>785</v>
      </c>
      <c r="G32" s="11"/>
      <c r="P32" s="22" t="s">
        <v>26</v>
      </c>
      <c r="Q32" s="23"/>
      <c r="R32" s="24"/>
      <c r="S32" s="24"/>
      <c r="T32" s="25">
        <f>SUM(T5:T31)</f>
        <v>19051</v>
      </c>
      <c r="U32"/>
    </row>
    <row r="33" spans="2:21" ht="14.25" customHeight="1" x14ac:dyDescent="0.35">
      <c r="B33" s="6"/>
      <c r="C33" s="27"/>
      <c r="D33" s="28">
        <v>5066836</v>
      </c>
      <c r="E33" s="9" t="s">
        <v>15</v>
      </c>
      <c r="F33" s="10">
        <v>350</v>
      </c>
      <c r="G33" s="11"/>
    </row>
    <row r="34" spans="2:21" ht="14.25" customHeight="1" x14ac:dyDescent="0.35">
      <c r="B34" s="6"/>
      <c r="C34" s="27"/>
      <c r="D34" s="28"/>
      <c r="E34" s="9"/>
      <c r="F34" s="10">
        <v>500</v>
      </c>
      <c r="G34" s="11"/>
      <c r="P34" s="2" t="s">
        <v>1</v>
      </c>
      <c r="Q34" s="2" t="s">
        <v>2</v>
      </c>
      <c r="R34" s="3" t="s">
        <v>3</v>
      </c>
      <c r="S34" s="2" t="s">
        <v>4</v>
      </c>
      <c r="T34" s="4" t="s">
        <v>5</v>
      </c>
      <c r="U34" s="5" t="s">
        <v>6</v>
      </c>
    </row>
    <row r="35" spans="2:21" ht="14.25" customHeight="1" x14ac:dyDescent="0.35">
      <c r="B35" s="6"/>
      <c r="C35" s="27"/>
      <c r="D35" s="28"/>
      <c r="E35" s="9"/>
      <c r="F35" s="10">
        <v>350</v>
      </c>
      <c r="G35" s="11"/>
      <c r="P35" s="12" t="s">
        <v>18</v>
      </c>
      <c r="Q35" s="35">
        <v>30489</v>
      </c>
      <c r="R35" s="41">
        <v>1684302</v>
      </c>
      <c r="S35" s="13" t="s">
        <v>107</v>
      </c>
      <c r="T35" s="10">
        <v>1500</v>
      </c>
      <c r="U35" s="14"/>
    </row>
    <row r="36" spans="2:21" x14ac:dyDescent="0.35">
      <c r="B36" s="6"/>
      <c r="C36" s="27"/>
      <c r="D36" s="28"/>
      <c r="E36" s="9" t="s">
        <v>79</v>
      </c>
      <c r="F36" s="10">
        <v>875</v>
      </c>
      <c r="G36" s="11"/>
      <c r="P36" s="12"/>
      <c r="Q36" s="35">
        <v>33303</v>
      </c>
      <c r="R36" s="41">
        <v>1684302</v>
      </c>
      <c r="S36" s="13" t="s">
        <v>107</v>
      </c>
      <c r="T36" s="10">
        <v>800</v>
      </c>
      <c r="U36" s="14"/>
    </row>
    <row r="37" spans="2:21" x14ac:dyDescent="0.35">
      <c r="B37" s="6"/>
      <c r="C37" s="27"/>
      <c r="D37" s="28"/>
      <c r="E37" s="9"/>
      <c r="F37" s="10">
        <v>600</v>
      </c>
      <c r="G37" s="11"/>
      <c r="P37" s="12"/>
      <c r="Q37" s="35">
        <v>40893</v>
      </c>
      <c r="R37" s="41">
        <v>1684302</v>
      </c>
      <c r="S37" s="13" t="s">
        <v>107</v>
      </c>
      <c r="T37" s="10">
        <v>800</v>
      </c>
      <c r="U37" s="14"/>
    </row>
    <row r="38" spans="2:21" x14ac:dyDescent="0.35">
      <c r="B38" s="6"/>
      <c r="C38" s="27"/>
      <c r="D38" s="28">
        <v>5066835</v>
      </c>
      <c r="E38" s="9" t="s">
        <v>15</v>
      </c>
      <c r="F38" s="10">
        <v>975</v>
      </c>
      <c r="G38" s="11"/>
      <c r="P38" s="12"/>
      <c r="Q38" s="35">
        <v>30489</v>
      </c>
      <c r="R38" s="41">
        <v>1684350</v>
      </c>
      <c r="S38" s="13" t="s">
        <v>107</v>
      </c>
      <c r="T38" s="10">
        <v>501</v>
      </c>
      <c r="U38" s="14"/>
    </row>
    <row r="39" spans="2:21" x14ac:dyDescent="0.35">
      <c r="B39" s="6"/>
      <c r="C39" s="7"/>
      <c r="D39" s="8"/>
      <c r="E39" s="9" t="s">
        <v>79</v>
      </c>
      <c r="F39" s="10">
        <v>647</v>
      </c>
      <c r="G39" s="11"/>
      <c r="P39" s="12"/>
      <c r="Q39" s="35">
        <v>40885</v>
      </c>
      <c r="R39" s="41">
        <v>1684302</v>
      </c>
      <c r="S39" s="13" t="s">
        <v>101</v>
      </c>
      <c r="T39" s="10">
        <v>794</v>
      </c>
      <c r="U39" s="14"/>
    </row>
    <row r="40" spans="2:21" x14ac:dyDescent="0.35">
      <c r="B40" s="6"/>
      <c r="C40" s="16" t="s">
        <v>347</v>
      </c>
      <c r="D40" s="17"/>
      <c r="E40" s="18"/>
      <c r="F40" s="19">
        <f>SUM(F32:F39)</f>
        <v>5082</v>
      </c>
      <c r="G40" s="20"/>
      <c r="P40" s="7"/>
      <c r="Q40" s="35">
        <v>30491</v>
      </c>
      <c r="R40" s="41">
        <v>1684302</v>
      </c>
      <c r="S40" s="13" t="s">
        <v>108</v>
      </c>
      <c r="T40" s="10">
        <v>800</v>
      </c>
      <c r="U40" s="14"/>
    </row>
    <row r="41" spans="2:21" x14ac:dyDescent="0.35">
      <c r="B41" s="6"/>
      <c r="C41" s="7" t="s">
        <v>348</v>
      </c>
      <c r="D41" s="8">
        <v>5065228</v>
      </c>
      <c r="E41" s="9" t="s">
        <v>349</v>
      </c>
      <c r="F41" s="10">
        <v>856</v>
      </c>
      <c r="G41" s="11"/>
      <c r="P41" s="22" t="s">
        <v>27</v>
      </c>
      <c r="Q41" s="23"/>
      <c r="R41" s="24"/>
      <c r="S41" s="24"/>
      <c r="T41" s="25">
        <f>SUM(T35:T40)</f>
        <v>5195</v>
      </c>
      <c r="U41"/>
    </row>
    <row r="42" spans="2:21" x14ac:dyDescent="0.35">
      <c r="B42" s="6"/>
      <c r="C42" s="16" t="s">
        <v>350</v>
      </c>
      <c r="D42" s="17"/>
      <c r="E42" s="18"/>
      <c r="F42" s="19">
        <f>SUM(F41)</f>
        <v>856</v>
      </c>
      <c r="G42" s="20"/>
    </row>
    <row r="43" spans="2:21" x14ac:dyDescent="0.35">
      <c r="B43" s="6"/>
      <c r="C43" s="27" t="s">
        <v>351</v>
      </c>
      <c r="D43" s="28">
        <v>5065229</v>
      </c>
      <c r="E43" s="9" t="s">
        <v>15</v>
      </c>
      <c r="F43" s="10">
        <v>315</v>
      </c>
      <c r="G43" s="11"/>
    </row>
    <row r="44" spans="2:21" x14ac:dyDescent="0.35">
      <c r="B44" s="6"/>
      <c r="C44" s="27"/>
      <c r="D44" s="28"/>
      <c r="E44" s="9" t="s">
        <v>349</v>
      </c>
      <c r="F44" s="10">
        <v>897</v>
      </c>
      <c r="G44" s="11"/>
    </row>
    <row r="45" spans="2:21" x14ac:dyDescent="0.35">
      <c r="B45" s="6"/>
      <c r="C45" s="7"/>
      <c r="D45" s="8"/>
      <c r="E45" s="9" t="s">
        <v>57</v>
      </c>
      <c r="F45" s="10">
        <v>993</v>
      </c>
      <c r="G45" s="11"/>
    </row>
    <row r="46" spans="2:21" x14ac:dyDescent="0.35">
      <c r="B46" s="6"/>
      <c r="C46" s="16" t="s">
        <v>352</v>
      </c>
      <c r="D46" s="17"/>
      <c r="E46" s="18"/>
      <c r="F46" s="19">
        <f>SUM(F43:F45)</f>
        <v>2205</v>
      </c>
      <c r="G46" s="20"/>
    </row>
    <row r="47" spans="2:21" x14ac:dyDescent="0.35">
      <c r="B47" s="6"/>
      <c r="C47" s="7" t="s">
        <v>353</v>
      </c>
      <c r="D47" s="8">
        <v>5065230</v>
      </c>
      <c r="E47" s="9" t="s">
        <v>354</v>
      </c>
      <c r="F47" s="10">
        <v>658</v>
      </c>
      <c r="G47" s="11"/>
    </row>
    <row r="48" spans="2:21" x14ac:dyDescent="0.35">
      <c r="B48" s="6"/>
      <c r="C48" s="16" t="s">
        <v>355</v>
      </c>
      <c r="D48" s="17"/>
      <c r="E48" s="18"/>
      <c r="F48" s="19">
        <f>SUM(F47)</f>
        <v>658</v>
      </c>
      <c r="G48" s="20"/>
    </row>
    <row r="49" spans="2:7" x14ac:dyDescent="0.35">
      <c r="B49" s="6"/>
      <c r="C49" s="7" t="s">
        <v>356</v>
      </c>
      <c r="D49" s="8">
        <v>5066528</v>
      </c>
      <c r="E49" s="9" t="s">
        <v>67</v>
      </c>
      <c r="F49" s="10">
        <v>2405</v>
      </c>
      <c r="G49" s="11"/>
    </row>
    <row r="50" spans="2:7" x14ac:dyDescent="0.35">
      <c r="B50" s="6"/>
      <c r="C50" s="16" t="s">
        <v>357</v>
      </c>
      <c r="D50" s="17"/>
      <c r="E50" s="18"/>
      <c r="F50" s="19">
        <f>SUM(F49)</f>
        <v>2405</v>
      </c>
      <c r="G50" s="20"/>
    </row>
    <row r="51" spans="2:7" x14ac:dyDescent="0.35">
      <c r="B51" s="6"/>
      <c r="C51" s="7" t="s">
        <v>358</v>
      </c>
      <c r="D51" s="8">
        <v>5066531</v>
      </c>
      <c r="E51" s="9" t="s">
        <v>30</v>
      </c>
      <c r="F51" s="10">
        <v>677</v>
      </c>
      <c r="G51" s="11"/>
    </row>
    <row r="52" spans="2:7" x14ac:dyDescent="0.35">
      <c r="B52" s="6"/>
      <c r="C52" s="16" t="s">
        <v>359</v>
      </c>
      <c r="D52" s="17"/>
      <c r="E52" s="18"/>
      <c r="F52" s="19">
        <f>SUM(F51)</f>
        <v>677</v>
      </c>
      <c r="G52" s="20"/>
    </row>
    <row r="53" spans="2:7" x14ac:dyDescent="0.35">
      <c r="B53" s="6"/>
      <c r="C53" s="27" t="s">
        <v>362</v>
      </c>
      <c r="D53" s="28">
        <v>5066534</v>
      </c>
      <c r="E53" s="9" t="s">
        <v>146</v>
      </c>
      <c r="F53" s="10">
        <v>869</v>
      </c>
      <c r="G53" s="11"/>
    </row>
    <row r="54" spans="2:7" x14ac:dyDescent="0.35">
      <c r="B54" s="6"/>
      <c r="C54" s="7"/>
      <c r="D54" s="8"/>
      <c r="E54" s="9" t="s">
        <v>363</v>
      </c>
      <c r="F54" s="10">
        <v>1118</v>
      </c>
      <c r="G54" s="11"/>
    </row>
    <row r="55" spans="2:7" x14ac:dyDescent="0.35">
      <c r="B55" s="6"/>
      <c r="C55" s="16" t="s">
        <v>364</v>
      </c>
      <c r="D55" s="17"/>
      <c r="E55" s="18"/>
      <c r="F55" s="19">
        <f>SUM(F53:F54)</f>
        <v>1987</v>
      </c>
      <c r="G55" s="20"/>
    </row>
    <row r="56" spans="2:7" x14ac:dyDescent="0.35">
      <c r="B56" s="6"/>
      <c r="C56" s="7" t="s">
        <v>365</v>
      </c>
      <c r="D56" s="8">
        <v>5067007</v>
      </c>
      <c r="E56" s="9" t="s">
        <v>15</v>
      </c>
      <c r="F56" s="10">
        <v>397</v>
      </c>
      <c r="G56" s="11" t="s">
        <v>147</v>
      </c>
    </row>
    <row r="57" spans="2:7" x14ac:dyDescent="0.35">
      <c r="B57" s="6"/>
      <c r="C57" s="16" t="s">
        <v>366</v>
      </c>
      <c r="D57" s="17"/>
      <c r="E57" s="18"/>
      <c r="F57" s="19">
        <f>SUM(F56)</f>
        <v>397</v>
      </c>
      <c r="G57" s="20"/>
    </row>
    <row r="58" spans="2:7" x14ac:dyDescent="0.35">
      <c r="B58" s="6"/>
      <c r="C58" s="7" t="s">
        <v>367</v>
      </c>
      <c r="D58" s="8">
        <v>5067008</v>
      </c>
      <c r="E58" s="9" t="s">
        <v>15</v>
      </c>
      <c r="F58" s="10">
        <v>425</v>
      </c>
      <c r="G58" s="11" t="s">
        <v>147</v>
      </c>
    </row>
    <row r="59" spans="2:7" x14ac:dyDescent="0.35">
      <c r="B59" s="6"/>
      <c r="C59" s="16" t="s">
        <v>368</v>
      </c>
      <c r="D59" s="17"/>
      <c r="E59" s="18"/>
      <c r="F59" s="19">
        <f>SUM(F58)</f>
        <v>425</v>
      </c>
      <c r="G59" s="20"/>
    </row>
    <row r="60" spans="2:7" x14ac:dyDescent="0.35">
      <c r="B60" s="6"/>
      <c r="C60" s="7" t="s">
        <v>369</v>
      </c>
      <c r="D60" s="8">
        <v>5067009</v>
      </c>
      <c r="E60" s="9" t="s">
        <v>15</v>
      </c>
      <c r="F60" s="10">
        <v>200</v>
      </c>
      <c r="G60" s="11" t="s">
        <v>147</v>
      </c>
    </row>
    <row r="61" spans="2:7" x14ac:dyDescent="0.35">
      <c r="B61" s="6"/>
      <c r="C61" s="16" t="s">
        <v>370</v>
      </c>
      <c r="D61" s="17"/>
      <c r="E61" s="18"/>
      <c r="F61" s="19">
        <f>SUM(F60)</f>
        <v>200</v>
      </c>
      <c r="G61" s="20"/>
    </row>
    <row r="62" spans="2:7" x14ac:dyDescent="0.35">
      <c r="B62" s="6"/>
      <c r="C62" s="7" t="s">
        <v>371</v>
      </c>
      <c r="D62" s="8">
        <v>5067010</v>
      </c>
      <c r="E62" s="9" t="s">
        <v>15</v>
      </c>
      <c r="F62" s="10">
        <v>288</v>
      </c>
      <c r="G62" s="11" t="s">
        <v>147</v>
      </c>
    </row>
    <row r="63" spans="2:7" x14ac:dyDescent="0.35">
      <c r="B63" s="6"/>
      <c r="C63" s="16" t="s">
        <v>372</v>
      </c>
      <c r="D63" s="17"/>
      <c r="E63" s="18"/>
      <c r="F63" s="19">
        <f>SUM(F62)</f>
        <v>288</v>
      </c>
      <c r="G63" s="20"/>
    </row>
    <row r="64" spans="2:7" x14ac:dyDescent="0.35">
      <c r="B64" s="6"/>
      <c r="C64" s="7" t="s">
        <v>373</v>
      </c>
      <c r="D64" s="8">
        <v>5066948</v>
      </c>
      <c r="E64" s="9" t="s">
        <v>15</v>
      </c>
      <c r="F64" s="10">
        <v>205</v>
      </c>
      <c r="G64" s="11" t="s">
        <v>147</v>
      </c>
    </row>
    <row r="65" spans="2:7" x14ac:dyDescent="0.35">
      <c r="B65" s="6"/>
      <c r="C65" s="16" t="s">
        <v>374</v>
      </c>
      <c r="D65" s="17"/>
      <c r="E65" s="18"/>
      <c r="F65" s="19">
        <f>SUM(F64)</f>
        <v>205</v>
      </c>
      <c r="G65" s="20"/>
    </row>
    <row r="66" spans="2:7" x14ac:dyDescent="0.35">
      <c r="B66" s="6"/>
      <c r="C66" s="7" t="s">
        <v>375</v>
      </c>
      <c r="D66" s="8">
        <v>5066949</v>
      </c>
      <c r="E66" s="9" t="s">
        <v>15</v>
      </c>
      <c r="F66" s="10">
        <v>200</v>
      </c>
      <c r="G66" s="11" t="s">
        <v>147</v>
      </c>
    </row>
    <row r="67" spans="2:7" x14ac:dyDescent="0.35">
      <c r="B67" s="6"/>
      <c r="C67" s="16" t="s">
        <v>376</v>
      </c>
      <c r="D67" s="17"/>
      <c r="E67" s="18"/>
      <c r="F67" s="19">
        <f>SUM(F66)</f>
        <v>200</v>
      </c>
      <c r="G67" s="20"/>
    </row>
    <row r="68" spans="2:7" x14ac:dyDescent="0.35">
      <c r="B68" s="6"/>
      <c r="C68" s="7" t="s">
        <v>377</v>
      </c>
      <c r="D68" s="8">
        <v>5067011</v>
      </c>
      <c r="E68" s="9" t="s">
        <v>15</v>
      </c>
      <c r="F68" s="10">
        <v>225</v>
      </c>
      <c r="G68" s="11" t="s">
        <v>147</v>
      </c>
    </row>
    <row r="69" spans="2:7" x14ac:dyDescent="0.35">
      <c r="B69" s="6"/>
      <c r="C69" s="16" t="s">
        <v>378</v>
      </c>
      <c r="D69" s="17"/>
      <c r="E69" s="18"/>
      <c r="F69" s="19">
        <f>SUM(F68)</f>
        <v>225</v>
      </c>
      <c r="G69" s="20"/>
    </row>
    <row r="70" spans="2:7" x14ac:dyDescent="0.35">
      <c r="B70" s="6"/>
      <c r="C70" s="7" t="s">
        <v>379</v>
      </c>
      <c r="D70" s="8">
        <v>5067012</v>
      </c>
      <c r="E70" s="9" t="s">
        <v>15</v>
      </c>
      <c r="F70" s="10">
        <v>200</v>
      </c>
      <c r="G70" s="11" t="s">
        <v>147</v>
      </c>
    </row>
    <row r="71" spans="2:7" x14ac:dyDescent="0.35">
      <c r="B71" s="6"/>
      <c r="C71" s="16" t="s">
        <v>380</v>
      </c>
      <c r="D71" s="17"/>
      <c r="E71" s="18"/>
      <c r="F71" s="19">
        <f>SUM(F70)</f>
        <v>200</v>
      </c>
      <c r="G71" s="20"/>
    </row>
    <row r="72" spans="2:7" x14ac:dyDescent="0.35">
      <c r="B72" s="6"/>
      <c r="C72" s="7" t="s">
        <v>384</v>
      </c>
      <c r="D72" s="8">
        <v>5067014</v>
      </c>
      <c r="E72" s="9" t="s">
        <v>136</v>
      </c>
      <c r="F72" s="10">
        <v>225</v>
      </c>
      <c r="G72" s="11" t="s">
        <v>147</v>
      </c>
    </row>
    <row r="73" spans="2:7" x14ac:dyDescent="0.35">
      <c r="B73" s="6"/>
      <c r="C73" s="16" t="s">
        <v>385</v>
      </c>
      <c r="D73" s="17"/>
      <c r="E73" s="18"/>
      <c r="F73" s="19">
        <f>SUM(F72)</f>
        <v>225</v>
      </c>
      <c r="G73" s="20"/>
    </row>
    <row r="74" spans="2:7" x14ac:dyDescent="0.35">
      <c r="B74" s="6"/>
      <c r="C74" s="7" t="s">
        <v>386</v>
      </c>
      <c r="D74" s="8">
        <v>5067002</v>
      </c>
      <c r="E74" s="9" t="s">
        <v>136</v>
      </c>
      <c r="F74" s="10">
        <v>209</v>
      </c>
      <c r="G74" s="11" t="s">
        <v>147</v>
      </c>
    </row>
    <row r="75" spans="2:7" x14ac:dyDescent="0.35">
      <c r="B75" s="6"/>
      <c r="C75" s="16" t="s">
        <v>387</v>
      </c>
      <c r="D75" s="17"/>
      <c r="E75" s="18"/>
      <c r="F75" s="19">
        <f>SUM(F74)</f>
        <v>209</v>
      </c>
      <c r="G75" s="20"/>
    </row>
    <row r="76" spans="2:7" x14ac:dyDescent="0.35">
      <c r="B76" s="6"/>
      <c r="C76" s="27" t="s">
        <v>262</v>
      </c>
      <c r="D76" s="28">
        <v>5066410</v>
      </c>
      <c r="E76" s="9" t="s">
        <v>68</v>
      </c>
      <c r="F76" s="10">
        <v>867</v>
      </c>
      <c r="G76" s="11"/>
    </row>
    <row r="77" spans="2:7" x14ac:dyDescent="0.35">
      <c r="B77" s="6"/>
      <c r="C77" s="7"/>
      <c r="D77" s="8"/>
      <c r="E77" s="9" t="s">
        <v>388</v>
      </c>
      <c r="F77" s="10">
        <v>1330</v>
      </c>
      <c r="G77" s="11"/>
    </row>
    <row r="78" spans="2:7" x14ac:dyDescent="0.35">
      <c r="B78" s="6"/>
      <c r="C78" s="16" t="s">
        <v>263</v>
      </c>
      <c r="D78" s="17"/>
      <c r="E78" s="18"/>
      <c r="F78" s="19">
        <f>SUM(F76:F77)</f>
        <v>2197</v>
      </c>
      <c r="G78" s="20"/>
    </row>
    <row r="79" spans="2:7" x14ac:dyDescent="0.35">
      <c r="B79" s="6"/>
      <c r="C79" s="7" t="s">
        <v>391</v>
      </c>
      <c r="D79" s="8">
        <v>5066431</v>
      </c>
      <c r="E79" s="9" t="s">
        <v>66</v>
      </c>
      <c r="F79" s="10">
        <v>829</v>
      </c>
      <c r="G79" s="11"/>
    </row>
    <row r="80" spans="2:7" x14ac:dyDescent="0.35">
      <c r="B80" s="6"/>
      <c r="C80" s="16" t="s">
        <v>392</v>
      </c>
      <c r="D80" s="17"/>
      <c r="E80" s="18"/>
      <c r="F80" s="19">
        <f>SUM(F79)</f>
        <v>829</v>
      </c>
      <c r="G80" s="20"/>
    </row>
    <row r="81" spans="2:7" x14ac:dyDescent="0.35">
      <c r="B81" s="6"/>
      <c r="C81" s="27" t="s">
        <v>119</v>
      </c>
      <c r="D81" s="28">
        <v>5064861</v>
      </c>
      <c r="E81" s="9" t="s">
        <v>154</v>
      </c>
      <c r="F81" s="10">
        <v>2432</v>
      </c>
      <c r="G81" s="11"/>
    </row>
    <row r="82" spans="2:7" x14ac:dyDescent="0.35">
      <c r="B82" s="6"/>
      <c r="C82" s="7"/>
      <c r="D82" s="8"/>
      <c r="E82" s="9" t="s">
        <v>134</v>
      </c>
      <c r="F82" s="10">
        <v>778</v>
      </c>
      <c r="G82" s="11"/>
    </row>
    <row r="83" spans="2:7" x14ac:dyDescent="0.35">
      <c r="B83" s="6"/>
      <c r="C83" s="16" t="s">
        <v>122</v>
      </c>
      <c r="D83" s="17"/>
      <c r="E83" s="18"/>
      <c r="F83" s="19">
        <f>SUM(F81:F82)</f>
        <v>3210</v>
      </c>
      <c r="G83" s="20"/>
    </row>
    <row r="84" spans="2:7" x14ac:dyDescent="0.35">
      <c r="B84" s="6"/>
      <c r="C84" s="27" t="s">
        <v>123</v>
      </c>
      <c r="D84" s="28">
        <v>5064862</v>
      </c>
      <c r="E84" s="9" t="s">
        <v>178</v>
      </c>
      <c r="F84" s="10">
        <v>1576</v>
      </c>
      <c r="G84" s="11"/>
    </row>
    <row r="85" spans="2:7" x14ac:dyDescent="0.35">
      <c r="B85" s="6"/>
      <c r="C85" s="27"/>
      <c r="D85" s="28"/>
      <c r="E85" s="9" t="s">
        <v>179</v>
      </c>
      <c r="F85" s="10">
        <v>637</v>
      </c>
      <c r="G85" s="11"/>
    </row>
    <row r="86" spans="2:7" x14ac:dyDescent="0.35">
      <c r="B86" s="6"/>
      <c r="C86" s="27"/>
      <c r="D86" s="28">
        <v>5065080</v>
      </c>
      <c r="E86" s="9" t="s">
        <v>292</v>
      </c>
      <c r="F86" s="10">
        <v>633</v>
      </c>
      <c r="G86" s="11"/>
    </row>
    <row r="87" spans="2:7" x14ac:dyDescent="0.35">
      <c r="B87" s="6"/>
      <c r="C87" s="7"/>
      <c r="D87" s="8"/>
      <c r="E87" s="9" t="s">
        <v>293</v>
      </c>
      <c r="F87" s="10">
        <v>1369</v>
      </c>
      <c r="G87" s="11"/>
    </row>
    <row r="88" spans="2:7" x14ac:dyDescent="0.35">
      <c r="B88" s="6"/>
      <c r="C88" s="16" t="s">
        <v>124</v>
      </c>
      <c r="D88" s="17"/>
      <c r="E88" s="18"/>
      <c r="F88" s="19">
        <f>SUM(F84:F87)</f>
        <v>4215</v>
      </c>
      <c r="G88" s="20"/>
    </row>
    <row r="89" spans="2:7" x14ac:dyDescent="0.35">
      <c r="B89" s="6"/>
      <c r="C89" s="27" t="s">
        <v>148</v>
      </c>
      <c r="D89" s="28">
        <v>5064863</v>
      </c>
      <c r="E89" s="9" t="s">
        <v>20</v>
      </c>
      <c r="F89" s="10">
        <v>844</v>
      </c>
      <c r="G89" s="11"/>
    </row>
    <row r="90" spans="2:7" x14ac:dyDescent="0.35">
      <c r="B90" s="6"/>
      <c r="C90" s="27"/>
      <c r="D90" s="28">
        <v>5064760</v>
      </c>
      <c r="E90" s="9" t="s">
        <v>327</v>
      </c>
      <c r="F90" s="10">
        <v>400</v>
      </c>
      <c r="G90" s="11"/>
    </row>
    <row r="91" spans="2:7" x14ac:dyDescent="0.35">
      <c r="B91" s="6"/>
      <c r="C91" s="7"/>
      <c r="D91" s="8">
        <v>5064906</v>
      </c>
      <c r="E91" s="9" t="s">
        <v>15</v>
      </c>
      <c r="F91" s="10">
        <v>830</v>
      </c>
      <c r="G91" s="11"/>
    </row>
    <row r="92" spans="2:7" x14ac:dyDescent="0.35">
      <c r="B92" s="6"/>
      <c r="C92" s="16" t="s">
        <v>149</v>
      </c>
      <c r="D92" s="17"/>
      <c r="E92" s="18"/>
      <c r="F92" s="19">
        <f>SUM(F89:F91)</f>
        <v>2074</v>
      </c>
      <c r="G92" s="20"/>
    </row>
    <row r="93" spans="2:7" x14ac:dyDescent="0.35">
      <c r="B93" s="6"/>
      <c r="C93" s="27" t="s">
        <v>393</v>
      </c>
      <c r="D93" s="28">
        <v>5064761</v>
      </c>
      <c r="E93" s="9" t="s">
        <v>158</v>
      </c>
      <c r="F93" s="10">
        <v>832</v>
      </c>
      <c r="G93" s="11"/>
    </row>
    <row r="94" spans="2:7" x14ac:dyDescent="0.35">
      <c r="B94" s="6"/>
      <c r="C94" s="27"/>
      <c r="D94" s="28"/>
      <c r="E94" s="9" t="s">
        <v>161</v>
      </c>
      <c r="F94" s="10">
        <v>1020</v>
      </c>
      <c r="G94" s="11"/>
    </row>
    <row r="95" spans="2:7" x14ac:dyDescent="0.35">
      <c r="B95" s="6"/>
      <c r="C95" s="27"/>
      <c r="D95" s="28">
        <v>5065276</v>
      </c>
      <c r="E95" s="9" t="s">
        <v>159</v>
      </c>
      <c r="F95" s="10">
        <v>206</v>
      </c>
      <c r="G95" s="11"/>
    </row>
    <row r="96" spans="2:7" x14ac:dyDescent="0.35">
      <c r="B96" s="6"/>
      <c r="C96" s="27"/>
      <c r="D96" s="28"/>
      <c r="E96" s="9" t="s">
        <v>394</v>
      </c>
      <c r="F96" s="10">
        <v>294</v>
      </c>
      <c r="G96" s="11"/>
    </row>
    <row r="97" spans="2:7" x14ac:dyDescent="0.35">
      <c r="B97" s="6"/>
      <c r="C97" s="27"/>
      <c r="D97" s="28"/>
      <c r="E97" s="9" t="s">
        <v>160</v>
      </c>
      <c r="F97" s="10">
        <v>397</v>
      </c>
      <c r="G97" s="11"/>
    </row>
    <row r="98" spans="2:7" x14ac:dyDescent="0.35">
      <c r="B98" s="6"/>
      <c r="C98" s="27"/>
      <c r="D98" s="28"/>
      <c r="E98" s="9" t="s">
        <v>162</v>
      </c>
      <c r="F98" s="10">
        <v>300</v>
      </c>
      <c r="G98" s="11"/>
    </row>
    <row r="99" spans="2:7" x14ac:dyDescent="0.35">
      <c r="B99" s="6"/>
      <c r="C99" s="27"/>
      <c r="D99" s="28">
        <v>5064983</v>
      </c>
      <c r="E99" s="9" t="s">
        <v>64</v>
      </c>
      <c r="F99" s="10">
        <v>430</v>
      </c>
      <c r="G99" s="11"/>
    </row>
    <row r="100" spans="2:7" x14ac:dyDescent="0.35">
      <c r="B100" s="6"/>
      <c r="C100" s="7"/>
      <c r="D100" s="8"/>
      <c r="E100" s="9"/>
      <c r="F100" s="10">
        <v>200</v>
      </c>
      <c r="G100" s="11"/>
    </row>
    <row r="101" spans="2:7" x14ac:dyDescent="0.35">
      <c r="B101" s="6"/>
      <c r="C101" s="16" t="s">
        <v>395</v>
      </c>
      <c r="D101" s="17"/>
      <c r="E101" s="18"/>
      <c r="F101" s="19">
        <f>SUM(F93:F100)</f>
        <v>3679</v>
      </c>
      <c r="G101" s="20"/>
    </row>
    <row r="102" spans="2:7" x14ac:dyDescent="0.35">
      <c r="B102" s="6"/>
      <c r="C102" s="27" t="s">
        <v>396</v>
      </c>
      <c r="D102" s="28">
        <v>5064864</v>
      </c>
      <c r="E102" s="9" t="s">
        <v>397</v>
      </c>
      <c r="F102" s="10">
        <v>731</v>
      </c>
      <c r="G102" s="11"/>
    </row>
    <row r="103" spans="2:7" x14ac:dyDescent="0.35">
      <c r="B103" s="6"/>
      <c r="C103" s="7"/>
      <c r="D103" s="8">
        <v>5065142</v>
      </c>
      <c r="E103" s="9" t="s">
        <v>398</v>
      </c>
      <c r="F103" s="10">
        <v>492</v>
      </c>
      <c r="G103" s="11"/>
    </row>
    <row r="104" spans="2:7" x14ac:dyDescent="0.35">
      <c r="B104" s="6"/>
      <c r="C104" s="16" t="s">
        <v>399</v>
      </c>
      <c r="D104" s="17"/>
      <c r="E104" s="18"/>
      <c r="F104" s="19">
        <f>SUM(F102:F103)</f>
        <v>1223</v>
      </c>
      <c r="G104" s="20"/>
    </row>
    <row r="105" spans="2:7" x14ac:dyDescent="0.35">
      <c r="B105" s="6"/>
      <c r="C105" s="27" t="s">
        <v>400</v>
      </c>
      <c r="D105" s="28">
        <v>5065082</v>
      </c>
      <c r="E105" s="9" t="s">
        <v>337</v>
      </c>
      <c r="F105" s="10">
        <v>525</v>
      </c>
      <c r="G105" s="11"/>
    </row>
    <row r="106" spans="2:7" x14ac:dyDescent="0.35">
      <c r="B106" s="6"/>
      <c r="C106" s="7"/>
      <c r="D106" s="8"/>
      <c r="E106" s="9"/>
      <c r="F106" s="10">
        <v>1218</v>
      </c>
      <c r="G106" s="11"/>
    </row>
    <row r="107" spans="2:7" x14ac:dyDescent="0.35">
      <c r="B107" s="6"/>
      <c r="C107" s="16" t="s">
        <v>401</v>
      </c>
      <c r="D107" s="17"/>
      <c r="E107" s="18"/>
      <c r="F107" s="19">
        <f>SUM(F105:F106)</f>
        <v>1743</v>
      </c>
      <c r="G107" s="20"/>
    </row>
    <row r="108" spans="2:7" x14ac:dyDescent="0.35">
      <c r="B108" s="6"/>
      <c r="C108" s="27" t="s">
        <v>402</v>
      </c>
      <c r="D108" s="28">
        <v>5065558</v>
      </c>
      <c r="E108" s="9" t="s">
        <v>349</v>
      </c>
      <c r="F108" s="10">
        <v>1145</v>
      </c>
      <c r="G108" s="11"/>
    </row>
    <row r="109" spans="2:7" x14ac:dyDescent="0.35">
      <c r="B109" s="6"/>
      <c r="C109" s="7"/>
      <c r="D109" s="8">
        <v>5064908</v>
      </c>
      <c r="E109" s="9" t="s">
        <v>15</v>
      </c>
      <c r="F109" s="10">
        <v>627</v>
      </c>
      <c r="G109" s="11"/>
    </row>
    <row r="110" spans="2:7" x14ac:dyDescent="0.35">
      <c r="B110" s="6"/>
      <c r="C110" s="16" t="s">
        <v>403</v>
      </c>
      <c r="D110" s="17"/>
      <c r="E110" s="18"/>
      <c r="F110" s="19">
        <f>SUM(F108:F109)</f>
        <v>1772</v>
      </c>
      <c r="G110" s="20"/>
    </row>
    <row r="111" spans="2:7" x14ac:dyDescent="0.35">
      <c r="B111" s="6"/>
      <c r="C111" s="27" t="s">
        <v>404</v>
      </c>
      <c r="D111" s="28">
        <v>5064984</v>
      </c>
      <c r="E111" s="9" t="s">
        <v>15</v>
      </c>
      <c r="F111" s="10">
        <v>710</v>
      </c>
      <c r="G111" s="11"/>
    </row>
    <row r="112" spans="2:7" x14ac:dyDescent="0.35">
      <c r="B112" s="6"/>
      <c r="C112" s="7"/>
      <c r="D112" s="8"/>
      <c r="E112" s="9" t="s">
        <v>349</v>
      </c>
      <c r="F112" s="10">
        <v>1327</v>
      </c>
      <c r="G112" s="11"/>
    </row>
    <row r="113" spans="2:7" x14ac:dyDescent="0.35">
      <c r="B113" s="6"/>
      <c r="C113" s="16" t="s">
        <v>405</v>
      </c>
      <c r="D113" s="17"/>
      <c r="E113" s="18"/>
      <c r="F113" s="19">
        <f>SUM(F111:F112)</f>
        <v>2037</v>
      </c>
      <c r="G113" s="20"/>
    </row>
    <row r="114" spans="2:7" x14ac:dyDescent="0.35">
      <c r="B114" s="6"/>
      <c r="C114" s="27" t="s">
        <v>406</v>
      </c>
      <c r="D114" s="28">
        <v>5064909</v>
      </c>
      <c r="E114" s="9" t="s">
        <v>354</v>
      </c>
      <c r="F114" s="10">
        <v>378</v>
      </c>
      <c r="G114" s="11"/>
    </row>
    <row r="115" spans="2:7" x14ac:dyDescent="0.35">
      <c r="B115" s="6"/>
      <c r="C115" s="7"/>
      <c r="D115" s="8">
        <v>5064985</v>
      </c>
      <c r="E115" s="9" t="s">
        <v>136</v>
      </c>
      <c r="F115" s="10">
        <v>1239</v>
      </c>
      <c r="G115" s="11"/>
    </row>
    <row r="116" spans="2:7" x14ac:dyDescent="0.35">
      <c r="B116" s="6"/>
      <c r="C116" s="16" t="s">
        <v>407</v>
      </c>
      <c r="D116" s="17"/>
      <c r="E116" s="18"/>
      <c r="F116" s="19">
        <f>SUM(F114:F115)</f>
        <v>1617</v>
      </c>
      <c r="G116" s="20"/>
    </row>
    <row r="117" spans="2:7" x14ac:dyDescent="0.35">
      <c r="B117" s="6"/>
      <c r="C117" s="7" t="s">
        <v>408</v>
      </c>
      <c r="D117" s="8">
        <v>5064986</v>
      </c>
      <c r="E117" s="9" t="s">
        <v>15</v>
      </c>
      <c r="F117" s="10">
        <v>1671</v>
      </c>
      <c r="G117" s="11"/>
    </row>
    <row r="118" spans="2:7" x14ac:dyDescent="0.35">
      <c r="B118" s="6"/>
      <c r="C118" s="16" t="s">
        <v>409</v>
      </c>
      <c r="D118" s="17"/>
      <c r="E118" s="18"/>
      <c r="F118" s="19">
        <f>SUM(F117)</f>
        <v>1671</v>
      </c>
      <c r="G118" s="20"/>
    </row>
    <row r="119" spans="2:7" x14ac:dyDescent="0.35">
      <c r="B119" s="6"/>
      <c r="C119" s="7" t="s">
        <v>410</v>
      </c>
      <c r="D119" s="8">
        <v>5065056</v>
      </c>
      <c r="E119" s="9" t="s">
        <v>30</v>
      </c>
      <c r="F119" s="10">
        <v>1140</v>
      </c>
      <c r="G119" s="11"/>
    </row>
    <row r="120" spans="2:7" x14ac:dyDescent="0.35">
      <c r="B120" s="6"/>
      <c r="C120" s="16" t="s">
        <v>411</v>
      </c>
      <c r="D120" s="17"/>
      <c r="E120" s="18"/>
      <c r="F120" s="19">
        <f>SUM(F119)</f>
        <v>1140</v>
      </c>
      <c r="G120" s="20"/>
    </row>
    <row r="121" spans="2:7" x14ac:dyDescent="0.35">
      <c r="B121" s="6"/>
      <c r="C121" s="7" t="s">
        <v>412</v>
      </c>
      <c r="D121" s="8">
        <v>5067015</v>
      </c>
      <c r="E121" s="9" t="s">
        <v>15</v>
      </c>
      <c r="F121" s="10">
        <v>258</v>
      </c>
      <c r="G121" s="11" t="s">
        <v>147</v>
      </c>
    </row>
    <row r="122" spans="2:7" x14ac:dyDescent="0.35">
      <c r="B122" s="6"/>
      <c r="C122" s="16" t="s">
        <v>413</v>
      </c>
      <c r="D122" s="17"/>
      <c r="E122" s="18"/>
      <c r="F122" s="19">
        <f>SUM(F121)</f>
        <v>258</v>
      </c>
      <c r="G122" s="20"/>
    </row>
    <row r="123" spans="2:7" x14ac:dyDescent="0.35">
      <c r="B123" s="6"/>
      <c r="C123" s="7" t="s">
        <v>414</v>
      </c>
      <c r="D123" s="8">
        <v>5067016</v>
      </c>
      <c r="E123" s="9" t="s">
        <v>15</v>
      </c>
      <c r="F123" s="10">
        <v>276</v>
      </c>
      <c r="G123" s="11" t="s">
        <v>147</v>
      </c>
    </row>
    <row r="124" spans="2:7" x14ac:dyDescent="0.35">
      <c r="B124" s="6"/>
      <c r="C124" s="16" t="s">
        <v>415</v>
      </c>
      <c r="D124" s="17"/>
      <c r="E124" s="18"/>
      <c r="F124" s="19">
        <f>SUM(F123)</f>
        <v>276</v>
      </c>
      <c r="G124" s="20"/>
    </row>
    <row r="125" spans="2:7" x14ac:dyDescent="0.35">
      <c r="B125" s="6"/>
      <c r="C125" s="7" t="s">
        <v>416</v>
      </c>
      <c r="D125" s="8">
        <v>5064987</v>
      </c>
      <c r="E125" s="9" t="s">
        <v>354</v>
      </c>
      <c r="F125" s="10">
        <v>1409</v>
      </c>
      <c r="G125" s="11"/>
    </row>
    <row r="126" spans="2:7" x14ac:dyDescent="0.35">
      <c r="B126" s="6"/>
      <c r="C126" s="16" t="s">
        <v>417</v>
      </c>
      <c r="D126" s="17"/>
      <c r="E126" s="18"/>
      <c r="F126" s="19">
        <f>SUM(F125)</f>
        <v>1409</v>
      </c>
      <c r="G126" s="20"/>
    </row>
    <row r="127" spans="2:7" x14ac:dyDescent="0.35">
      <c r="B127" s="6"/>
      <c r="C127" s="27" t="s">
        <v>268</v>
      </c>
      <c r="D127" s="28">
        <v>5066839</v>
      </c>
      <c r="E127" s="9" t="s">
        <v>15</v>
      </c>
      <c r="F127" s="10">
        <v>845</v>
      </c>
      <c r="G127" s="11"/>
    </row>
    <row r="128" spans="2:7" x14ac:dyDescent="0.35">
      <c r="B128" s="6"/>
      <c r="C128" s="7"/>
      <c r="D128" s="8"/>
      <c r="E128" s="9"/>
      <c r="F128" s="10">
        <v>254</v>
      </c>
      <c r="G128" s="11"/>
    </row>
    <row r="129" spans="2:7" x14ac:dyDescent="0.35">
      <c r="B129" s="6"/>
      <c r="C129" s="16" t="s">
        <v>269</v>
      </c>
      <c r="D129" s="17"/>
      <c r="E129" s="18"/>
      <c r="F129" s="19">
        <f>SUM(F127:F128)</f>
        <v>1099</v>
      </c>
      <c r="G129" s="20"/>
    </row>
    <row r="130" spans="2:7" x14ac:dyDescent="0.35">
      <c r="B130" s="6"/>
      <c r="C130" s="27" t="s">
        <v>12</v>
      </c>
      <c r="D130" s="28">
        <v>5066554</v>
      </c>
      <c r="E130" s="9" t="s">
        <v>67</v>
      </c>
      <c r="F130" s="10">
        <v>920</v>
      </c>
      <c r="G130" s="11"/>
    </row>
    <row r="131" spans="2:7" x14ac:dyDescent="0.35">
      <c r="B131" s="6"/>
      <c r="C131" s="27"/>
      <c r="D131" s="28"/>
      <c r="E131" s="9" t="s">
        <v>418</v>
      </c>
      <c r="F131" s="10">
        <v>562</v>
      </c>
      <c r="G131" s="11"/>
    </row>
    <row r="132" spans="2:7" x14ac:dyDescent="0.35">
      <c r="B132" s="6"/>
      <c r="C132" s="7"/>
      <c r="D132" s="8"/>
      <c r="E132" s="9" t="s">
        <v>419</v>
      </c>
      <c r="F132" s="10">
        <v>432</v>
      </c>
      <c r="G132" s="11"/>
    </row>
    <row r="133" spans="2:7" x14ac:dyDescent="0.35">
      <c r="B133" s="6"/>
      <c r="C133" s="16" t="s">
        <v>13</v>
      </c>
      <c r="D133" s="17"/>
      <c r="E133" s="18"/>
      <c r="F133" s="19">
        <f>SUM(F130:F132)</f>
        <v>1914</v>
      </c>
      <c r="G133" s="20"/>
    </row>
    <row r="134" spans="2:7" x14ac:dyDescent="0.35">
      <c r="B134" s="6"/>
      <c r="C134" s="7" t="s">
        <v>420</v>
      </c>
      <c r="D134" s="8">
        <v>5066813</v>
      </c>
      <c r="E134" s="9" t="s">
        <v>264</v>
      </c>
      <c r="F134" s="10">
        <v>577</v>
      </c>
      <c r="G134" s="11"/>
    </row>
    <row r="135" spans="2:7" x14ac:dyDescent="0.35">
      <c r="B135" s="6"/>
      <c r="C135" s="16" t="s">
        <v>421</v>
      </c>
      <c r="D135" s="17"/>
      <c r="E135" s="18"/>
      <c r="F135" s="19">
        <f>SUM(F134)</f>
        <v>577</v>
      </c>
      <c r="G135" s="20"/>
    </row>
    <row r="136" spans="2:7" x14ac:dyDescent="0.35">
      <c r="B136" s="6"/>
      <c r="C136" s="27" t="s">
        <v>65</v>
      </c>
      <c r="D136" s="28">
        <v>5066692</v>
      </c>
      <c r="E136" s="9" t="s">
        <v>15</v>
      </c>
      <c r="F136" s="10">
        <v>693</v>
      </c>
      <c r="G136" s="11"/>
    </row>
    <row r="137" spans="2:7" x14ac:dyDescent="0.35">
      <c r="B137" s="6"/>
      <c r="C137" s="7"/>
      <c r="D137" s="8"/>
      <c r="E137" s="9" t="s">
        <v>264</v>
      </c>
      <c r="F137" s="10">
        <v>392</v>
      </c>
      <c r="G137" s="11"/>
    </row>
    <row r="138" spans="2:7" x14ac:dyDescent="0.35">
      <c r="B138" s="6"/>
      <c r="C138" s="16" t="s">
        <v>69</v>
      </c>
      <c r="D138" s="17"/>
      <c r="E138" s="18"/>
      <c r="F138" s="19">
        <f>SUM(F136:F137)</f>
        <v>1085</v>
      </c>
      <c r="G138" s="20"/>
    </row>
    <row r="139" spans="2:7" x14ac:dyDescent="0.35">
      <c r="B139" s="6"/>
      <c r="C139" s="27" t="s">
        <v>422</v>
      </c>
      <c r="D139" s="28">
        <v>5066411</v>
      </c>
      <c r="E139" s="9" t="s">
        <v>66</v>
      </c>
      <c r="F139" s="10">
        <v>519</v>
      </c>
      <c r="G139" s="11"/>
    </row>
    <row r="140" spans="2:7" x14ac:dyDescent="0.35">
      <c r="B140" s="6"/>
      <c r="C140" s="7"/>
      <c r="D140" s="8"/>
      <c r="E140" s="9" t="s">
        <v>423</v>
      </c>
      <c r="F140" s="10">
        <v>387</v>
      </c>
      <c r="G140" s="11"/>
    </row>
    <row r="141" spans="2:7" x14ac:dyDescent="0.35">
      <c r="B141" s="6"/>
      <c r="C141" s="16" t="s">
        <v>424</v>
      </c>
      <c r="D141" s="17"/>
      <c r="E141" s="18"/>
      <c r="F141" s="19">
        <f>SUM(F139:F140)</f>
        <v>906</v>
      </c>
      <c r="G141" s="20"/>
    </row>
    <row r="142" spans="2:7" x14ac:dyDescent="0.35">
      <c r="B142" s="6"/>
      <c r="C142" s="7" t="s">
        <v>425</v>
      </c>
      <c r="D142" s="8">
        <v>5066414</v>
      </c>
      <c r="E142" s="9" t="s">
        <v>66</v>
      </c>
      <c r="F142" s="10">
        <v>261</v>
      </c>
      <c r="G142" s="11"/>
    </row>
    <row r="143" spans="2:7" x14ac:dyDescent="0.35">
      <c r="B143" s="6"/>
      <c r="C143" s="16" t="s">
        <v>426</v>
      </c>
      <c r="D143" s="17"/>
      <c r="E143" s="18"/>
      <c r="F143" s="19">
        <f>SUM(F142)</f>
        <v>261</v>
      </c>
      <c r="G143" s="20"/>
    </row>
    <row r="144" spans="2:7" x14ac:dyDescent="0.35">
      <c r="B144" s="6"/>
      <c r="C144" s="7" t="s">
        <v>429</v>
      </c>
      <c r="D144" s="8">
        <v>5065937</v>
      </c>
      <c r="E144" s="9" t="s">
        <v>159</v>
      </c>
      <c r="F144" s="10">
        <v>24</v>
      </c>
      <c r="G144" s="11" t="s">
        <v>147</v>
      </c>
    </row>
    <row r="145" spans="2:7" x14ac:dyDescent="0.35">
      <c r="B145" s="6"/>
      <c r="C145" s="16" t="s">
        <v>430</v>
      </c>
      <c r="D145" s="17"/>
      <c r="E145" s="18"/>
      <c r="F145" s="19">
        <f>SUM(F144)</f>
        <v>24</v>
      </c>
      <c r="G145" s="20"/>
    </row>
    <row r="146" spans="2:7" x14ac:dyDescent="0.35">
      <c r="B146" s="6"/>
      <c r="C146" s="27" t="s">
        <v>431</v>
      </c>
      <c r="D146" s="28">
        <v>5065939</v>
      </c>
      <c r="E146" s="9" t="s">
        <v>159</v>
      </c>
      <c r="F146" s="10">
        <v>51</v>
      </c>
      <c r="G146" s="11" t="s">
        <v>147</v>
      </c>
    </row>
    <row r="147" spans="2:7" x14ac:dyDescent="0.35">
      <c r="B147" s="6"/>
      <c r="C147" s="7"/>
      <c r="D147" s="8"/>
      <c r="E147" s="9" t="s">
        <v>160</v>
      </c>
      <c r="F147" s="10">
        <v>68</v>
      </c>
      <c r="G147" s="11" t="s">
        <v>147</v>
      </c>
    </row>
    <row r="148" spans="2:7" x14ac:dyDescent="0.35">
      <c r="B148" s="6"/>
      <c r="C148" s="16" t="s">
        <v>432</v>
      </c>
      <c r="D148" s="17"/>
      <c r="E148" s="18"/>
      <c r="F148" s="19">
        <f>SUM(F146:F147)</f>
        <v>119</v>
      </c>
      <c r="G148" s="20"/>
    </row>
    <row r="149" spans="2:7" x14ac:dyDescent="0.35">
      <c r="B149" s="6"/>
      <c r="C149" s="7" t="s">
        <v>433</v>
      </c>
      <c r="D149" s="8">
        <v>5065318</v>
      </c>
      <c r="E149" s="9" t="s">
        <v>134</v>
      </c>
      <c r="F149" s="10">
        <v>24</v>
      </c>
      <c r="G149" s="11" t="s">
        <v>147</v>
      </c>
    </row>
    <row r="150" spans="2:7" x14ac:dyDescent="0.35">
      <c r="B150" s="6"/>
      <c r="C150" s="16" t="s">
        <v>434</v>
      </c>
      <c r="D150" s="17"/>
      <c r="E150" s="18"/>
      <c r="F150" s="19">
        <f>SUM(F149)</f>
        <v>24</v>
      </c>
      <c r="G150" s="20"/>
    </row>
    <row r="151" spans="2:7" x14ac:dyDescent="0.35">
      <c r="B151" s="6"/>
      <c r="C151" s="27" t="s">
        <v>435</v>
      </c>
      <c r="D151" s="28">
        <v>5065941</v>
      </c>
      <c r="E151" s="9" t="s">
        <v>158</v>
      </c>
      <c r="F151" s="10">
        <v>42</v>
      </c>
      <c r="G151" s="11" t="s">
        <v>147</v>
      </c>
    </row>
    <row r="152" spans="2:7" x14ac:dyDescent="0.35">
      <c r="B152" s="6"/>
      <c r="C152" s="7"/>
      <c r="D152" s="8"/>
      <c r="E152" s="9" t="s">
        <v>159</v>
      </c>
      <c r="F152" s="10">
        <v>24</v>
      </c>
      <c r="G152" s="11" t="s">
        <v>147</v>
      </c>
    </row>
    <row r="153" spans="2:7" x14ac:dyDescent="0.35">
      <c r="B153" s="6"/>
      <c r="C153" s="16" t="s">
        <v>436</v>
      </c>
      <c r="D153" s="17"/>
      <c r="E153" s="18"/>
      <c r="F153" s="19">
        <f>SUM(F151:F152)</f>
        <v>66</v>
      </c>
      <c r="G153" s="20"/>
    </row>
    <row r="154" spans="2:7" x14ac:dyDescent="0.35">
      <c r="B154" s="6"/>
      <c r="C154" s="7" t="s">
        <v>437</v>
      </c>
      <c r="D154" s="8">
        <v>5065942</v>
      </c>
      <c r="E154" s="9" t="s">
        <v>64</v>
      </c>
      <c r="F154" s="10">
        <v>24</v>
      </c>
      <c r="G154" s="11" t="s">
        <v>147</v>
      </c>
    </row>
    <row r="155" spans="2:7" x14ac:dyDescent="0.35">
      <c r="B155" s="6"/>
      <c r="C155" s="16" t="s">
        <v>438</v>
      </c>
      <c r="D155" s="17"/>
      <c r="E155" s="18"/>
      <c r="F155" s="19">
        <f>SUM(F154)</f>
        <v>24</v>
      </c>
      <c r="G155" s="20"/>
    </row>
    <row r="156" spans="2:7" x14ac:dyDescent="0.35">
      <c r="B156" s="6"/>
      <c r="C156" s="7" t="s">
        <v>439</v>
      </c>
      <c r="D156" s="8">
        <v>5065943</v>
      </c>
      <c r="E156" s="9" t="s">
        <v>64</v>
      </c>
      <c r="F156" s="10">
        <v>24</v>
      </c>
      <c r="G156" s="11" t="s">
        <v>147</v>
      </c>
    </row>
    <row r="157" spans="2:7" x14ac:dyDescent="0.35">
      <c r="B157" s="6"/>
      <c r="C157" s="16" t="s">
        <v>440</v>
      </c>
      <c r="D157" s="17"/>
      <c r="E157" s="18"/>
      <c r="F157" s="19">
        <f>SUM(F156)</f>
        <v>24</v>
      </c>
      <c r="G157" s="20"/>
    </row>
    <row r="158" spans="2:7" x14ac:dyDescent="0.35">
      <c r="B158" s="6"/>
      <c r="C158" s="27" t="s">
        <v>334</v>
      </c>
      <c r="D158" s="28">
        <v>5066065</v>
      </c>
      <c r="E158" s="9" t="s">
        <v>158</v>
      </c>
      <c r="F158" s="10">
        <v>24</v>
      </c>
      <c r="G158" s="11" t="s">
        <v>147</v>
      </c>
    </row>
    <row r="159" spans="2:7" x14ac:dyDescent="0.35">
      <c r="B159" s="6"/>
      <c r="C159" s="27"/>
      <c r="D159" s="28"/>
      <c r="E159" s="9" t="s">
        <v>64</v>
      </c>
      <c r="F159" s="10">
        <v>24</v>
      </c>
      <c r="G159" s="11" t="s">
        <v>147</v>
      </c>
    </row>
    <row r="160" spans="2:7" x14ac:dyDescent="0.35">
      <c r="B160" s="6"/>
      <c r="C160" s="7"/>
      <c r="D160" s="8"/>
      <c r="E160" s="9" t="s">
        <v>161</v>
      </c>
      <c r="F160" s="10">
        <v>24</v>
      </c>
      <c r="G160" s="11" t="s">
        <v>147</v>
      </c>
    </row>
    <row r="161" spans="2:7" x14ac:dyDescent="0.35">
      <c r="B161" s="6"/>
      <c r="C161" s="16" t="s">
        <v>335</v>
      </c>
      <c r="D161" s="17"/>
      <c r="E161" s="18"/>
      <c r="F161" s="19">
        <f>SUM(F158:F160)</f>
        <v>72</v>
      </c>
      <c r="G161" s="20"/>
    </row>
    <row r="162" spans="2:7" x14ac:dyDescent="0.35">
      <c r="B162" s="6"/>
      <c r="C162" s="27" t="s">
        <v>441</v>
      </c>
      <c r="D162" s="28">
        <v>5065944</v>
      </c>
      <c r="E162" s="9" t="s">
        <v>158</v>
      </c>
      <c r="F162" s="10">
        <v>24</v>
      </c>
      <c r="G162" s="11" t="s">
        <v>147</v>
      </c>
    </row>
    <row r="163" spans="2:7" x14ac:dyDescent="0.35">
      <c r="B163" s="6"/>
      <c r="C163" s="27"/>
      <c r="D163" s="28"/>
      <c r="E163" s="9" t="s">
        <v>64</v>
      </c>
      <c r="F163" s="10">
        <v>24</v>
      </c>
      <c r="G163" s="11" t="s">
        <v>147</v>
      </c>
    </row>
    <row r="164" spans="2:7" x14ac:dyDescent="0.35">
      <c r="B164" s="6"/>
      <c r="C164" s="27"/>
      <c r="D164" s="28"/>
      <c r="E164" s="9" t="s">
        <v>160</v>
      </c>
      <c r="F164" s="10">
        <v>24</v>
      </c>
      <c r="G164" s="11" t="s">
        <v>147</v>
      </c>
    </row>
    <row r="165" spans="2:7" x14ac:dyDescent="0.35">
      <c r="B165" s="6"/>
      <c r="C165" s="7"/>
      <c r="D165" s="8"/>
      <c r="E165" s="9" t="s">
        <v>161</v>
      </c>
      <c r="F165" s="10">
        <v>24</v>
      </c>
      <c r="G165" s="11" t="s">
        <v>147</v>
      </c>
    </row>
    <row r="166" spans="2:7" x14ac:dyDescent="0.35">
      <c r="B166" s="6"/>
      <c r="C166" s="16" t="s">
        <v>442</v>
      </c>
      <c r="D166" s="17"/>
      <c r="E166" s="18"/>
      <c r="F166" s="19">
        <f>SUM(F162:F165)</f>
        <v>96</v>
      </c>
      <c r="G166" s="20"/>
    </row>
    <row r="167" spans="2:7" x14ac:dyDescent="0.35">
      <c r="B167" s="6"/>
      <c r="C167" s="27" t="s">
        <v>443</v>
      </c>
      <c r="D167" s="28">
        <v>5065945</v>
      </c>
      <c r="E167" s="9" t="s">
        <v>158</v>
      </c>
      <c r="F167" s="10">
        <v>49</v>
      </c>
      <c r="G167" s="11" t="s">
        <v>147</v>
      </c>
    </row>
    <row r="168" spans="2:7" x14ac:dyDescent="0.35">
      <c r="B168" s="6"/>
      <c r="C168" s="27"/>
      <c r="D168" s="28"/>
      <c r="E168" s="9" t="s">
        <v>64</v>
      </c>
      <c r="F168" s="10">
        <v>60</v>
      </c>
      <c r="G168" s="11" t="s">
        <v>147</v>
      </c>
    </row>
    <row r="169" spans="2:7" x14ac:dyDescent="0.35">
      <c r="B169" s="6"/>
      <c r="C169" s="27"/>
      <c r="D169" s="28"/>
      <c r="E169" s="9" t="s">
        <v>160</v>
      </c>
      <c r="F169" s="10">
        <v>47</v>
      </c>
      <c r="G169" s="11" t="s">
        <v>147</v>
      </c>
    </row>
    <row r="170" spans="2:7" x14ac:dyDescent="0.35">
      <c r="B170" s="6"/>
      <c r="C170" s="7"/>
      <c r="D170" s="8"/>
      <c r="E170" s="9" t="s">
        <v>161</v>
      </c>
      <c r="F170" s="10">
        <v>71</v>
      </c>
      <c r="G170" s="11" t="s">
        <v>147</v>
      </c>
    </row>
    <row r="171" spans="2:7" x14ac:dyDescent="0.35">
      <c r="B171" s="6"/>
      <c r="C171" s="16" t="s">
        <v>444</v>
      </c>
      <c r="D171" s="17"/>
      <c r="E171" s="18"/>
      <c r="F171" s="19">
        <f>SUM(F167:F170)</f>
        <v>227</v>
      </c>
      <c r="G171" s="20"/>
    </row>
    <row r="172" spans="2:7" x14ac:dyDescent="0.35">
      <c r="B172" s="6"/>
      <c r="C172" s="27" t="s">
        <v>445</v>
      </c>
      <c r="D172" s="28">
        <v>5065946</v>
      </c>
      <c r="E172" s="9" t="s">
        <v>158</v>
      </c>
      <c r="F172" s="10">
        <v>26</v>
      </c>
      <c r="G172" s="11" t="s">
        <v>147</v>
      </c>
    </row>
    <row r="173" spans="2:7" x14ac:dyDescent="0.35">
      <c r="B173" s="6"/>
      <c r="C173" s="27"/>
      <c r="D173" s="28"/>
      <c r="E173" s="9" t="s">
        <v>64</v>
      </c>
      <c r="F173" s="10">
        <v>25</v>
      </c>
      <c r="G173" s="11" t="s">
        <v>147</v>
      </c>
    </row>
    <row r="174" spans="2:7" x14ac:dyDescent="0.35">
      <c r="B174" s="6"/>
      <c r="C174" s="27"/>
      <c r="D174" s="28"/>
      <c r="E174" s="9" t="s">
        <v>160</v>
      </c>
      <c r="F174" s="10">
        <v>28</v>
      </c>
      <c r="G174" s="11" t="s">
        <v>147</v>
      </c>
    </row>
    <row r="175" spans="2:7" x14ac:dyDescent="0.35">
      <c r="B175" s="6"/>
      <c r="C175" s="27"/>
      <c r="D175" s="28"/>
      <c r="E175" s="9" t="s">
        <v>161</v>
      </c>
      <c r="F175" s="10">
        <v>43</v>
      </c>
      <c r="G175" s="11" t="s">
        <v>147</v>
      </c>
    </row>
    <row r="176" spans="2:7" x14ac:dyDescent="0.35">
      <c r="B176" s="6"/>
      <c r="C176" s="7"/>
      <c r="D176" s="8">
        <v>5066278</v>
      </c>
      <c r="E176" s="9" t="s">
        <v>158</v>
      </c>
      <c r="F176" s="10">
        <v>24</v>
      </c>
      <c r="G176" s="11" t="s">
        <v>147</v>
      </c>
    </row>
    <row r="177" spans="2:7" x14ac:dyDescent="0.35">
      <c r="B177" s="6"/>
      <c r="C177" s="16" t="s">
        <v>446</v>
      </c>
      <c r="D177" s="17"/>
      <c r="E177" s="18"/>
      <c r="F177" s="19">
        <f>SUM(F172:F176)</f>
        <v>146</v>
      </c>
      <c r="G177" s="20"/>
    </row>
    <row r="178" spans="2:7" x14ac:dyDescent="0.35">
      <c r="B178" s="6"/>
      <c r="C178" s="27" t="s">
        <v>447</v>
      </c>
      <c r="D178" s="28">
        <v>5065947</v>
      </c>
      <c r="E178" s="9" t="s">
        <v>64</v>
      </c>
      <c r="F178" s="10">
        <v>24</v>
      </c>
      <c r="G178" s="11" t="s">
        <v>147</v>
      </c>
    </row>
    <row r="179" spans="2:7" x14ac:dyDescent="0.35">
      <c r="B179" s="6"/>
      <c r="C179" s="27"/>
      <c r="D179" s="28"/>
      <c r="E179" s="9" t="s">
        <v>160</v>
      </c>
      <c r="F179" s="10">
        <v>24</v>
      </c>
      <c r="G179" s="11" t="s">
        <v>147</v>
      </c>
    </row>
    <row r="180" spans="2:7" x14ac:dyDescent="0.35">
      <c r="B180" s="6"/>
      <c r="C180" s="7"/>
      <c r="D180" s="8"/>
      <c r="E180" s="9" t="s">
        <v>161</v>
      </c>
      <c r="F180" s="10">
        <v>24</v>
      </c>
      <c r="G180" s="11" t="s">
        <v>147</v>
      </c>
    </row>
    <row r="181" spans="2:7" x14ac:dyDescent="0.35">
      <c r="B181" s="6"/>
      <c r="C181" s="16" t="s">
        <v>448</v>
      </c>
      <c r="D181" s="17"/>
      <c r="E181" s="18"/>
      <c r="F181" s="19">
        <f>SUM(F178:F180)</f>
        <v>72</v>
      </c>
      <c r="G181" s="20"/>
    </row>
    <row r="182" spans="2:7" x14ac:dyDescent="0.35">
      <c r="B182" s="6"/>
      <c r="C182" s="27" t="s">
        <v>449</v>
      </c>
      <c r="D182" s="28">
        <v>5065948</v>
      </c>
      <c r="E182" s="9" t="s">
        <v>158</v>
      </c>
      <c r="F182" s="10">
        <v>30</v>
      </c>
      <c r="G182" s="11" t="s">
        <v>147</v>
      </c>
    </row>
    <row r="183" spans="2:7" x14ac:dyDescent="0.35">
      <c r="B183" s="6"/>
      <c r="C183" s="27"/>
      <c r="D183" s="28"/>
      <c r="E183" s="9" t="s">
        <v>64</v>
      </c>
      <c r="F183" s="10">
        <v>30</v>
      </c>
      <c r="G183" s="11" t="s">
        <v>147</v>
      </c>
    </row>
    <row r="184" spans="2:7" x14ac:dyDescent="0.35">
      <c r="B184" s="6"/>
      <c r="C184" s="27"/>
      <c r="D184" s="28"/>
      <c r="E184" s="9" t="s">
        <v>160</v>
      </c>
      <c r="F184" s="10">
        <v>30</v>
      </c>
      <c r="G184" s="11" t="s">
        <v>147</v>
      </c>
    </row>
    <row r="185" spans="2:7" x14ac:dyDescent="0.35">
      <c r="B185" s="6"/>
      <c r="C185" s="7"/>
      <c r="D185" s="8"/>
      <c r="E185" s="9" t="s">
        <v>161</v>
      </c>
      <c r="F185" s="10">
        <v>30</v>
      </c>
      <c r="G185" s="11" t="s">
        <v>147</v>
      </c>
    </row>
    <row r="186" spans="2:7" x14ac:dyDescent="0.35">
      <c r="B186" s="6"/>
      <c r="C186" s="16" t="s">
        <v>450</v>
      </c>
      <c r="D186" s="17"/>
      <c r="E186" s="18"/>
      <c r="F186" s="19">
        <f>SUM(F182:F185)</f>
        <v>120</v>
      </c>
      <c r="G186" s="20"/>
    </row>
    <row r="187" spans="2:7" x14ac:dyDescent="0.35">
      <c r="B187" s="6"/>
      <c r="C187" s="27" t="s">
        <v>451</v>
      </c>
      <c r="D187" s="28">
        <v>5065949</v>
      </c>
      <c r="E187" s="9" t="s">
        <v>158</v>
      </c>
      <c r="F187" s="10">
        <v>24</v>
      </c>
      <c r="G187" s="11" t="s">
        <v>147</v>
      </c>
    </row>
    <row r="188" spans="2:7" x14ac:dyDescent="0.35">
      <c r="B188" s="6"/>
      <c r="C188" s="27"/>
      <c r="D188" s="28"/>
      <c r="E188" s="9" t="s">
        <v>64</v>
      </c>
      <c r="F188" s="10">
        <v>24</v>
      </c>
      <c r="G188" s="11" t="s">
        <v>147</v>
      </c>
    </row>
    <row r="189" spans="2:7" x14ac:dyDescent="0.35">
      <c r="B189" s="6"/>
      <c r="C189" s="27"/>
      <c r="D189" s="28"/>
      <c r="E189" s="9" t="s">
        <v>160</v>
      </c>
      <c r="F189" s="10">
        <v>24</v>
      </c>
      <c r="G189" s="11" t="s">
        <v>147</v>
      </c>
    </row>
    <row r="190" spans="2:7" x14ac:dyDescent="0.35">
      <c r="B190" s="6"/>
      <c r="C190" s="7"/>
      <c r="D190" s="8"/>
      <c r="E190" s="9" t="s">
        <v>161</v>
      </c>
      <c r="F190" s="10">
        <v>24</v>
      </c>
      <c r="G190" s="11" t="s">
        <v>147</v>
      </c>
    </row>
    <row r="191" spans="2:7" x14ac:dyDescent="0.35">
      <c r="B191" s="6"/>
      <c r="C191" s="16" t="s">
        <v>452</v>
      </c>
      <c r="D191" s="17"/>
      <c r="E191" s="18"/>
      <c r="F191" s="19">
        <f>SUM(F187:F190)</f>
        <v>96</v>
      </c>
      <c r="G191" s="20"/>
    </row>
    <row r="192" spans="2:7" x14ac:dyDescent="0.35">
      <c r="B192" s="6"/>
      <c r="C192" s="27" t="s">
        <v>453</v>
      </c>
      <c r="D192" s="28">
        <v>5065950</v>
      </c>
      <c r="E192" s="9" t="s">
        <v>158</v>
      </c>
      <c r="F192" s="10">
        <v>24</v>
      </c>
      <c r="G192" s="11" t="s">
        <v>147</v>
      </c>
    </row>
    <row r="193" spans="2:7" x14ac:dyDescent="0.35">
      <c r="B193" s="6"/>
      <c r="C193" s="27"/>
      <c r="D193" s="28"/>
      <c r="E193" s="9" t="s">
        <v>64</v>
      </c>
      <c r="F193" s="10">
        <v>24</v>
      </c>
      <c r="G193" s="11" t="s">
        <v>147</v>
      </c>
    </row>
    <row r="194" spans="2:7" x14ac:dyDescent="0.35">
      <c r="B194" s="6"/>
      <c r="C194" s="27"/>
      <c r="D194" s="28"/>
      <c r="E194" s="9" t="s">
        <v>160</v>
      </c>
      <c r="F194" s="10">
        <v>24</v>
      </c>
      <c r="G194" s="11" t="s">
        <v>147</v>
      </c>
    </row>
    <row r="195" spans="2:7" x14ac:dyDescent="0.35">
      <c r="B195" s="6"/>
      <c r="C195" s="7"/>
      <c r="D195" s="8"/>
      <c r="E195" s="9" t="s">
        <v>161</v>
      </c>
      <c r="F195" s="10">
        <v>24</v>
      </c>
      <c r="G195" s="11" t="s">
        <v>147</v>
      </c>
    </row>
    <row r="196" spans="2:7" x14ac:dyDescent="0.35">
      <c r="B196" s="6"/>
      <c r="C196" s="16" t="s">
        <v>454</v>
      </c>
      <c r="D196" s="17"/>
      <c r="E196" s="18"/>
      <c r="F196" s="19">
        <f>SUM(F192:F195)</f>
        <v>96</v>
      </c>
      <c r="G196" s="20"/>
    </row>
    <row r="197" spans="2:7" x14ac:dyDescent="0.35">
      <c r="B197" s="6"/>
      <c r="C197" s="27" t="s">
        <v>455</v>
      </c>
      <c r="D197" s="28">
        <v>5065951</v>
      </c>
      <c r="E197" s="9" t="s">
        <v>159</v>
      </c>
      <c r="F197" s="10">
        <v>102</v>
      </c>
      <c r="G197" s="11" t="s">
        <v>147</v>
      </c>
    </row>
    <row r="198" spans="2:7" x14ac:dyDescent="0.35">
      <c r="B198" s="6"/>
      <c r="C198" s="7"/>
      <c r="D198" s="8"/>
      <c r="E198" s="9" t="s">
        <v>160</v>
      </c>
      <c r="F198" s="10">
        <v>128</v>
      </c>
      <c r="G198" s="11" t="s">
        <v>147</v>
      </c>
    </row>
    <row r="199" spans="2:7" x14ac:dyDescent="0.35">
      <c r="B199" s="6"/>
      <c r="C199" s="16" t="s">
        <v>456</v>
      </c>
      <c r="D199" s="17"/>
      <c r="E199" s="18"/>
      <c r="F199" s="19">
        <f>SUM(F197:F198)</f>
        <v>230</v>
      </c>
      <c r="G199" s="20"/>
    </row>
    <row r="200" spans="2:7" x14ac:dyDescent="0.35">
      <c r="B200" s="6"/>
      <c r="C200" s="7" t="s">
        <v>133</v>
      </c>
      <c r="D200" s="8">
        <v>5066107</v>
      </c>
      <c r="E200" s="9" t="s">
        <v>322</v>
      </c>
      <c r="F200" s="10">
        <v>72</v>
      </c>
      <c r="G200" s="11" t="s">
        <v>147</v>
      </c>
    </row>
    <row r="201" spans="2:7" x14ac:dyDescent="0.35">
      <c r="B201" s="6"/>
      <c r="C201" s="16" t="s">
        <v>135</v>
      </c>
      <c r="D201" s="17"/>
      <c r="E201" s="18"/>
      <c r="F201" s="19">
        <f>SUM(F200)</f>
        <v>72</v>
      </c>
      <c r="G201" s="20"/>
    </row>
    <row r="202" spans="2:7" x14ac:dyDescent="0.35">
      <c r="B202" s="6"/>
      <c r="C202" s="27" t="s">
        <v>457</v>
      </c>
      <c r="D202" s="28">
        <v>5065325</v>
      </c>
      <c r="E202" s="9" t="s">
        <v>300</v>
      </c>
      <c r="F202" s="10">
        <v>96</v>
      </c>
      <c r="G202" s="11" t="s">
        <v>147</v>
      </c>
    </row>
    <row r="203" spans="2:7" x14ac:dyDescent="0.35">
      <c r="B203" s="6"/>
      <c r="C203" s="27"/>
      <c r="D203" s="28"/>
      <c r="E203" s="9" t="s">
        <v>301</v>
      </c>
      <c r="F203" s="10">
        <v>96</v>
      </c>
      <c r="G203" s="11" t="s">
        <v>147</v>
      </c>
    </row>
    <row r="204" spans="2:7" x14ac:dyDescent="0.35">
      <c r="B204" s="6"/>
      <c r="C204" s="27"/>
      <c r="D204" s="28"/>
      <c r="E204" s="9" t="s">
        <v>145</v>
      </c>
      <c r="F204" s="10">
        <v>96</v>
      </c>
      <c r="G204" s="11" t="s">
        <v>147</v>
      </c>
    </row>
    <row r="205" spans="2:7" x14ac:dyDescent="0.35">
      <c r="B205" s="6"/>
      <c r="C205" s="7"/>
      <c r="D205" s="8">
        <v>5066108</v>
      </c>
      <c r="E205" s="9" t="s">
        <v>329</v>
      </c>
      <c r="F205" s="10">
        <v>96</v>
      </c>
      <c r="G205" s="11" t="s">
        <v>147</v>
      </c>
    </row>
    <row r="206" spans="2:7" x14ac:dyDescent="0.35">
      <c r="B206" s="6"/>
      <c r="C206" s="16" t="s">
        <v>458</v>
      </c>
      <c r="D206" s="17"/>
      <c r="E206" s="18"/>
      <c r="F206" s="19">
        <f>SUM(F202:F205)</f>
        <v>384</v>
      </c>
      <c r="G206" s="20"/>
    </row>
    <row r="207" spans="2:7" x14ac:dyDescent="0.35">
      <c r="B207" s="6"/>
      <c r="C207" s="27" t="s">
        <v>459</v>
      </c>
      <c r="D207" s="28">
        <v>5065952</v>
      </c>
      <c r="E207" s="9" t="s">
        <v>158</v>
      </c>
      <c r="F207" s="10">
        <v>55</v>
      </c>
      <c r="G207" s="11" t="s">
        <v>147</v>
      </c>
    </row>
    <row r="208" spans="2:7" x14ac:dyDescent="0.35">
      <c r="B208" s="6"/>
      <c r="C208" s="27"/>
      <c r="D208" s="28"/>
      <c r="E208" s="9" t="s">
        <v>159</v>
      </c>
      <c r="F208" s="10">
        <v>58</v>
      </c>
      <c r="G208" s="11" t="s">
        <v>147</v>
      </c>
    </row>
    <row r="209" spans="2:7" x14ac:dyDescent="0.35">
      <c r="B209" s="6"/>
      <c r="C209" s="27"/>
      <c r="D209" s="28"/>
      <c r="E209" s="9" t="s">
        <v>160</v>
      </c>
      <c r="F209" s="10">
        <v>31</v>
      </c>
      <c r="G209" s="11" t="s">
        <v>147</v>
      </c>
    </row>
    <row r="210" spans="2:7" x14ac:dyDescent="0.35">
      <c r="B210" s="6"/>
      <c r="C210" s="7"/>
      <c r="D210" s="8"/>
      <c r="E210" s="9" t="s">
        <v>161</v>
      </c>
      <c r="F210" s="10">
        <v>163</v>
      </c>
      <c r="G210" s="11" t="s">
        <v>147</v>
      </c>
    </row>
    <row r="211" spans="2:7" x14ac:dyDescent="0.35">
      <c r="B211" s="6"/>
      <c r="C211" s="16" t="s">
        <v>460</v>
      </c>
      <c r="D211" s="17"/>
      <c r="E211" s="18"/>
      <c r="F211" s="19">
        <f>SUM(F207:F210)</f>
        <v>307</v>
      </c>
      <c r="G211" s="20"/>
    </row>
    <row r="212" spans="2:7" x14ac:dyDescent="0.35">
      <c r="B212" s="6"/>
      <c r="C212" s="7" t="s">
        <v>461</v>
      </c>
      <c r="D212" s="8">
        <v>5065953</v>
      </c>
      <c r="E212" s="9" t="s">
        <v>161</v>
      </c>
      <c r="F212" s="10">
        <v>24</v>
      </c>
      <c r="G212" s="11" t="s">
        <v>147</v>
      </c>
    </row>
    <row r="213" spans="2:7" x14ac:dyDescent="0.35">
      <c r="B213" s="6"/>
      <c r="C213" s="16" t="s">
        <v>462</v>
      </c>
      <c r="D213" s="17"/>
      <c r="E213" s="18"/>
      <c r="F213" s="19">
        <f>SUM(F212)</f>
        <v>24</v>
      </c>
      <c r="G213" s="20"/>
    </row>
    <row r="214" spans="2:7" x14ac:dyDescent="0.35">
      <c r="B214" s="6"/>
      <c r="C214" s="7" t="s">
        <v>463</v>
      </c>
      <c r="D214" s="8">
        <v>5065954</v>
      </c>
      <c r="E214" s="9" t="s">
        <v>161</v>
      </c>
      <c r="F214" s="10">
        <v>24</v>
      </c>
      <c r="G214" s="11" t="s">
        <v>147</v>
      </c>
    </row>
    <row r="215" spans="2:7" x14ac:dyDescent="0.35">
      <c r="B215" s="6"/>
      <c r="C215" s="16" t="s">
        <v>464</v>
      </c>
      <c r="D215" s="17"/>
      <c r="E215" s="18"/>
      <c r="F215" s="19">
        <f>SUM(F214)</f>
        <v>24</v>
      </c>
      <c r="G215" s="20"/>
    </row>
    <row r="216" spans="2:7" x14ac:dyDescent="0.35">
      <c r="B216" s="6"/>
      <c r="C216" s="7" t="s">
        <v>465</v>
      </c>
      <c r="D216" s="8">
        <v>5065955</v>
      </c>
      <c r="E216" s="9" t="s">
        <v>160</v>
      </c>
      <c r="F216" s="10">
        <v>84</v>
      </c>
      <c r="G216" s="11" t="s">
        <v>147</v>
      </c>
    </row>
    <row r="217" spans="2:7" x14ac:dyDescent="0.35">
      <c r="B217" s="6"/>
      <c r="C217" s="16" t="s">
        <v>466</v>
      </c>
      <c r="D217" s="17"/>
      <c r="E217" s="18"/>
      <c r="F217" s="19">
        <f>SUM(F216)</f>
        <v>84</v>
      </c>
      <c r="G217" s="20"/>
    </row>
    <row r="218" spans="2:7" x14ac:dyDescent="0.35">
      <c r="B218" s="6"/>
      <c r="C218" s="27" t="s">
        <v>467</v>
      </c>
      <c r="D218" s="28">
        <v>5066280</v>
      </c>
      <c r="E218" s="9" t="s">
        <v>161</v>
      </c>
      <c r="F218" s="10">
        <v>24</v>
      </c>
      <c r="G218" s="11" t="s">
        <v>147</v>
      </c>
    </row>
    <row r="219" spans="2:7" x14ac:dyDescent="0.35">
      <c r="B219" s="6"/>
      <c r="C219" s="7"/>
      <c r="D219" s="8"/>
      <c r="E219" s="9"/>
      <c r="F219" s="10">
        <v>12</v>
      </c>
      <c r="G219" s="11" t="s">
        <v>147</v>
      </c>
    </row>
    <row r="220" spans="2:7" x14ac:dyDescent="0.35">
      <c r="B220" s="6"/>
      <c r="C220" s="16" t="s">
        <v>468</v>
      </c>
      <c r="D220" s="17"/>
      <c r="E220" s="18"/>
      <c r="F220" s="19">
        <f>SUM(F218:F219)</f>
        <v>36</v>
      </c>
      <c r="G220" s="20"/>
    </row>
    <row r="221" spans="2:7" x14ac:dyDescent="0.35">
      <c r="B221" s="6"/>
      <c r="C221" s="27" t="s">
        <v>469</v>
      </c>
      <c r="D221" s="28">
        <v>5065327</v>
      </c>
      <c r="E221" s="9" t="s">
        <v>178</v>
      </c>
      <c r="F221" s="10">
        <v>24</v>
      </c>
      <c r="G221" s="11" t="s">
        <v>147</v>
      </c>
    </row>
    <row r="222" spans="2:7" x14ac:dyDescent="0.35">
      <c r="B222" s="6"/>
      <c r="C222" s="27"/>
      <c r="D222" s="28"/>
      <c r="E222" s="9" t="s">
        <v>274</v>
      </c>
      <c r="F222" s="10">
        <v>24</v>
      </c>
      <c r="G222" s="11" t="s">
        <v>147</v>
      </c>
    </row>
    <row r="223" spans="2:7" x14ac:dyDescent="0.35">
      <c r="B223" s="6"/>
      <c r="C223" s="27"/>
      <c r="D223" s="28"/>
      <c r="E223" s="9" t="s">
        <v>179</v>
      </c>
      <c r="F223" s="10">
        <v>37</v>
      </c>
      <c r="G223" s="11" t="s">
        <v>147</v>
      </c>
    </row>
    <row r="224" spans="2:7" x14ac:dyDescent="0.35">
      <c r="B224" s="6"/>
      <c r="C224" s="27"/>
      <c r="D224" s="28"/>
      <c r="E224" s="9" t="s">
        <v>180</v>
      </c>
      <c r="F224" s="10">
        <v>24</v>
      </c>
      <c r="G224" s="11" t="s">
        <v>147</v>
      </c>
    </row>
    <row r="225" spans="2:7" x14ac:dyDescent="0.35">
      <c r="B225" s="6"/>
      <c r="C225" s="7"/>
      <c r="D225" s="8"/>
      <c r="E225" s="9" t="s">
        <v>181</v>
      </c>
      <c r="F225" s="10">
        <v>24</v>
      </c>
      <c r="G225" s="11" t="s">
        <v>147</v>
      </c>
    </row>
    <row r="226" spans="2:7" x14ac:dyDescent="0.35">
      <c r="B226" s="6"/>
      <c r="C226" s="16" t="s">
        <v>470</v>
      </c>
      <c r="D226" s="17"/>
      <c r="E226" s="18"/>
      <c r="F226" s="19">
        <f>SUM(F221:F225)</f>
        <v>133</v>
      </c>
      <c r="G226" s="20"/>
    </row>
    <row r="227" spans="2:7" x14ac:dyDescent="0.35">
      <c r="B227" s="6"/>
      <c r="C227" s="7" t="s">
        <v>471</v>
      </c>
      <c r="D227" s="8">
        <v>5065957</v>
      </c>
      <c r="E227" s="9" t="s">
        <v>161</v>
      </c>
      <c r="F227" s="10">
        <v>24</v>
      </c>
      <c r="G227" s="11" t="s">
        <v>147</v>
      </c>
    </row>
    <row r="228" spans="2:7" x14ac:dyDescent="0.35">
      <c r="B228" s="6"/>
      <c r="C228" s="16" t="s">
        <v>472</v>
      </c>
      <c r="D228" s="17"/>
      <c r="E228" s="18"/>
      <c r="F228" s="19">
        <f>SUM(F227)</f>
        <v>24</v>
      </c>
      <c r="G228" s="20"/>
    </row>
    <row r="229" spans="2:7" x14ac:dyDescent="0.35">
      <c r="B229" s="6"/>
      <c r="C229" s="7" t="s">
        <v>473</v>
      </c>
      <c r="D229" s="8">
        <v>5065958</v>
      </c>
      <c r="E229" s="9" t="s">
        <v>161</v>
      </c>
      <c r="F229" s="10">
        <v>24</v>
      </c>
      <c r="G229" s="11" t="s">
        <v>147</v>
      </c>
    </row>
    <row r="230" spans="2:7" x14ac:dyDescent="0.35">
      <c r="B230" s="6"/>
      <c r="C230" s="16" t="s">
        <v>474</v>
      </c>
      <c r="D230" s="17"/>
      <c r="E230" s="18"/>
      <c r="F230" s="19">
        <f>SUM(F229)</f>
        <v>24</v>
      </c>
      <c r="G230" s="20"/>
    </row>
    <row r="231" spans="2:7" x14ac:dyDescent="0.35">
      <c r="B231" s="6"/>
      <c r="C231" s="7" t="s">
        <v>475</v>
      </c>
      <c r="D231" s="8">
        <v>5065959</v>
      </c>
      <c r="E231" s="9" t="s">
        <v>161</v>
      </c>
      <c r="F231" s="10">
        <v>24</v>
      </c>
      <c r="G231" s="11" t="s">
        <v>147</v>
      </c>
    </row>
    <row r="232" spans="2:7" x14ac:dyDescent="0.35">
      <c r="B232" s="6"/>
      <c r="C232" s="16" t="s">
        <v>476</v>
      </c>
      <c r="D232" s="17"/>
      <c r="E232" s="18"/>
      <c r="F232" s="19">
        <f>SUM(F231)</f>
        <v>24</v>
      </c>
      <c r="G232" s="20"/>
    </row>
    <row r="233" spans="2:7" x14ac:dyDescent="0.35">
      <c r="B233" s="6"/>
      <c r="C233" s="7" t="s">
        <v>477</v>
      </c>
      <c r="D233" s="8">
        <v>5065960</v>
      </c>
      <c r="E233" s="9" t="s">
        <v>161</v>
      </c>
      <c r="F233" s="10">
        <v>24</v>
      </c>
      <c r="G233" s="11" t="s">
        <v>147</v>
      </c>
    </row>
    <row r="234" spans="2:7" x14ac:dyDescent="0.35">
      <c r="B234" s="6"/>
      <c r="C234" s="16" t="s">
        <v>478</v>
      </c>
      <c r="D234" s="17"/>
      <c r="E234" s="18"/>
      <c r="F234" s="19">
        <f>SUM(F233)</f>
        <v>24</v>
      </c>
      <c r="G234" s="20"/>
    </row>
    <row r="235" spans="2:7" x14ac:dyDescent="0.35">
      <c r="B235" s="6"/>
      <c r="C235" s="27" t="s">
        <v>479</v>
      </c>
      <c r="D235" s="28">
        <v>5066281</v>
      </c>
      <c r="E235" s="9" t="s">
        <v>161</v>
      </c>
      <c r="F235" s="10">
        <v>24</v>
      </c>
      <c r="G235" s="11" t="s">
        <v>147</v>
      </c>
    </row>
    <row r="236" spans="2:7" x14ac:dyDescent="0.35">
      <c r="B236" s="6"/>
      <c r="C236" s="7"/>
      <c r="D236" s="8"/>
      <c r="E236" s="9"/>
      <c r="F236" s="10">
        <v>12</v>
      </c>
      <c r="G236" s="11" t="s">
        <v>147</v>
      </c>
    </row>
    <row r="237" spans="2:7" x14ac:dyDescent="0.35">
      <c r="B237" s="6"/>
      <c r="C237" s="16" t="s">
        <v>480</v>
      </c>
      <c r="D237" s="17"/>
      <c r="E237" s="18"/>
      <c r="F237" s="19">
        <f>SUM(F235:F236)</f>
        <v>36</v>
      </c>
      <c r="G237" s="20"/>
    </row>
    <row r="238" spans="2:7" x14ac:dyDescent="0.35">
      <c r="B238" s="6"/>
      <c r="C238" s="7" t="s">
        <v>481</v>
      </c>
      <c r="D238" s="8">
        <v>5065331</v>
      </c>
      <c r="E238" s="9" t="s">
        <v>337</v>
      </c>
      <c r="F238" s="10">
        <v>72</v>
      </c>
      <c r="G238" s="11" t="s">
        <v>147</v>
      </c>
    </row>
    <row r="239" spans="2:7" x14ac:dyDescent="0.35">
      <c r="B239" s="6"/>
      <c r="C239" s="16" t="s">
        <v>482</v>
      </c>
      <c r="D239" s="17"/>
      <c r="E239" s="18"/>
      <c r="F239" s="19">
        <f>SUM(F238)</f>
        <v>72</v>
      </c>
      <c r="G239" s="20"/>
    </row>
    <row r="240" spans="2:7" x14ac:dyDescent="0.35">
      <c r="B240" s="6"/>
      <c r="C240" s="7" t="s">
        <v>483</v>
      </c>
      <c r="D240" s="8">
        <v>5065963</v>
      </c>
      <c r="E240" s="9" t="s">
        <v>161</v>
      </c>
      <c r="F240" s="10">
        <v>20</v>
      </c>
      <c r="G240" s="11" t="s">
        <v>147</v>
      </c>
    </row>
    <row r="241" spans="2:7" x14ac:dyDescent="0.35">
      <c r="B241" s="6"/>
      <c r="C241" s="16" t="s">
        <v>484</v>
      </c>
      <c r="D241" s="17"/>
      <c r="E241" s="18"/>
      <c r="F241" s="19">
        <f>SUM(F240)</f>
        <v>20</v>
      </c>
      <c r="G241" s="20"/>
    </row>
    <row r="242" spans="2:7" x14ac:dyDescent="0.35">
      <c r="B242" s="6"/>
      <c r="C242" s="27" t="s">
        <v>485</v>
      </c>
      <c r="D242" s="28">
        <v>5065965</v>
      </c>
      <c r="E242" s="9" t="s">
        <v>64</v>
      </c>
      <c r="F242" s="10">
        <v>24</v>
      </c>
      <c r="G242" s="11" t="s">
        <v>147</v>
      </c>
    </row>
    <row r="243" spans="2:7" x14ac:dyDescent="0.35">
      <c r="B243" s="6"/>
      <c r="C243" s="7"/>
      <c r="D243" s="8"/>
      <c r="E243" s="9" t="s">
        <v>160</v>
      </c>
      <c r="F243" s="10">
        <v>24</v>
      </c>
      <c r="G243" s="11" t="s">
        <v>147</v>
      </c>
    </row>
    <row r="244" spans="2:7" x14ac:dyDescent="0.35">
      <c r="B244" s="6"/>
      <c r="C244" s="16" t="s">
        <v>486</v>
      </c>
      <c r="D244" s="17"/>
      <c r="E244" s="18"/>
      <c r="F244" s="19">
        <f>SUM(F242:F243)</f>
        <v>48</v>
      </c>
      <c r="G244" s="20"/>
    </row>
    <row r="245" spans="2:7" x14ac:dyDescent="0.35">
      <c r="B245" s="6"/>
      <c r="C245" s="27" t="s">
        <v>487</v>
      </c>
      <c r="D245" s="28">
        <v>5065966</v>
      </c>
      <c r="E245" s="9" t="s">
        <v>158</v>
      </c>
      <c r="F245" s="10">
        <v>24</v>
      </c>
      <c r="G245" s="11" t="s">
        <v>147</v>
      </c>
    </row>
    <row r="246" spans="2:7" x14ac:dyDescent="0.35">
      <c r="B246" s="6"/>
      <c r="C246" s="27"/>
      <c r="D246" s="28"/>
      <c r="E246" s="9" t="s">
        <v>64</v>
      </c>
      <c r="F246" s="10">
        <v>24</v>
      </c>
      <c r="G246" s="11" t="s">
        <v>147</v>
      </c>
    </row>
    <row r="247" spans="2:7" x14ac:dyDescent="0.35">
      <c r="B247" s="6"/>
      <c r="C247" s="27"/>
      <c r="D247" s="28"/>
      <c r="E247" s="9" t="s">
        <v>160</v>
      </c>
      <c r="F247" s="10">
        <v>24</v>
      </c>
      <c r="G247" s="11" t="s">
        <v>147</v>
      </c>
    </row>
    <row r="248" spans="2:7" x14ac:dyDescent="0.35">
      <c r="B248" s="6"/>
      <c r="C248" s="7"/>
      <c r="D248" s="8"/>
      <c r="E248" s="9" t="s">
        <v>161</v>
      </c>
      <c r="F248" s="10">
        <v>24</v>
      </c>
      <c r="G248" s="11" t="s">
        <v>147</v>
      </c>
    </row>
    <row r="249" spans="2:7" x14ac:dyDescent="0.35">
      <c r="B249" s="6"/>
      <c r="C249" s="16" t="s">
        <v>488</v>
      </c>
      <c r="D249" s="17"/>
      <c r="E249" s="18"/>
      <c r="F249" s="19">
        <f>SUM(F245:F248)</f>
        <v>96</v>
      </c>
      <c r="G249" s="20"/>
    </row>
    <row r="250" spans="2:7" x14ac:dyDescent="0.35">
      <c r="B250" s="6"/>
      <c r="C250" s="27" t="s">
        <v>489</v>
      </c>
      <c r="D250" s="28">
        <v>5065967</v>
      </c>
      <c r="E250" s="9" t="s">
        <v>158</v>
      </c>
      <c r="F250" s="10">
        <v>12</v>
      </c>
      <c r="G250" s="11" t="s">
        <v>147</v>
      </c>
    </row>
    <row r="251" spans="2:7" x14ac:dyDescent="0.35">
      <c r="B251" s="6"/>
      <c r="C251" s="27"/>
      <c r="D251" s="28"/>
      <c r="E251" s="9" t="s">
        <v>64</v>
      </c>
      <c r="F251" s="10">
        <v>24</v>
      </c>
      <c r="G251" s="11" t="s">
        <v>147</v>
      </c>
    </row>
    <row r="252" spans="2:7" x14ac:dyDescent="0.35">
      <c r="B252" s="6"/>
      <c r="C252" s="27"/>
      <c r="D252" s="28"/>
      <c r="E252" s="9" t="s">
        <v>160</v>
      </c>
      <c r="F252" s="10">
        <v>12</v>
      </c>
      <c r="G252" s="11" t="s">
        <v>147</v>
      </c>
    </row>
    <row r="253" spans="2:7" x14ac:dyDescent="0.35">
      <c r="B253" s="6"/>
      <c r="C253" s="7"/>
      <c r="D253" s="8"/>
      <c r="E253" s="9" t="s">
        <v>161</v>
      </c>
      <c r="F253" s="10">
        <v>12</v>
      </c>
      <c r="G253" s="11" t="s">
        <v>147</v>
      </c>
    </row>
    <row r="254" spans="2:7" x14ac:dyDescent="0.35">
      <c r="B254" s="6"/>
      <c r="C254" s="16" t="s">
        <v>490</v>
      </c>
      <c r="D254" s="17"/>
      <c r="E254" s="18"/>
      <c r="F254" s="19">
        <f>SUM(F250:F253)</f>
        <v>60</v>
      </c>
      <c r="G254" s="20"/>
    </row>
    <row r="255" spans="2:7" x14ac:dyDescent="0.35">
      <c r="B255" s="6"/>
      <c r="C255" s="27" t="s">
        <v>491</v>
      </c>
      <c r="D255" s="28">
        <v>5065968</v>
      </c>
      <c r="E255" s="9" t="s">
        <v>158</v>
      </c>
      <c r="F255" s="10">
        <v>44</v>
      </c>
      <c r="G255" s="11" t="s">
        <v>147</v>
      </c>
    </row>
    <row r="256" spans="2:7" x14ac:dyDescent="0.35">
      <c r="B256" s="6"/>
      <c r="C256" s="27"/>
      <c r="D256" s="28"/>
      <c r="E256" s="9" t="s">
        <v>64</v>
      </c>
      <c r="F256" s="10">
        <v>45</v>
      </c>
      <c r="G256" s="11" t="s">
        <v>147</v>
      </c>
    </row>
    <row r="257" spans="2:7" x14ac:dyDescent="0.35">
      <c r="B257" s="6"/>
      <c r="C257" s="27"/>
      <c r="D257" s="28"/>
      <c r="E257" s="9" t="s">
        <v>160</v>
      </c>
      <c r="F257" s="10">
        <v>36</v>
      </c>
      <c r="G257" s="11" t="s">
        <v>147</v>
      </c>
    </row>
    <row r="258" spans="2:7" x14ac:dyDescent="0.35">
      <c r="B258" s="6"/>
      <c r="C258" s="7"/>
      <c r="D258" s="8"/>
      <c r="E258" s="9" t="s">
        <v>161</v>
      </c>
      <c r="F258" s="10">
        <v>44</v>
      </c>
      <c r="G258" s="11" t="s">
        <v>147</v>
      </c>
    </row>
    <row r="259" spans="2:7" x14ac:dyDescent="0.35">
      <c r="B259" s="6"/>
      <c r="C259" s="16" t="s">
        <v>492</v>
      </c>
      <c r="D259" s="17"/>
      <c r="E259" s="18"/>
      <c r="F259" s="19">
        <f>SUM(F255:F258)</f>
        <v>169</v>
      </c>
      <c r="G259" s="20"/>
    </row>
    <row r="260" spans="2:7" x14ac:dyDescent="0.35">
      <c r="B260" s="6"/>
      <c r="C260" s="27" t="s">
        <v>493</v>
      </c>
      <c r="D260" s="28">
        <v>5065969</v>
      </c>
      <c r="E260" s="9" t="s">
        <v>158</v>
      </c>
      <c r="F260" s="10">
        <v>24</v>
      </c>
      <c r="G260" s="11" t="s">
        <v>147</v>
      </c>
    </row>
    <row r="261" spans="2:7" x14ac:dyDescent="0.35">
      <c r="B261" s="6"/>
      <c r="C261" s="27"/>
      <c r="D261" s="28"/>
      <c r="E261" s="9" t="s">
        <v>64</v>
      </c>
      <c r="F261" s="10">
        <v>24</v>
      </c>
      <c r="G261" s="11" t="s">
        <v>147</v>
      </c>
    </row>
    <row r="262" spans="2:7" x14ac:dyDescent="0.35">
      <c r="B262" s="6"/>
      <c r="C262" s="27"/>
      <c r="D262" s="28"/>
      <c r="E262" s="9" t="s">
        <v>160</v>
      </c>
      <c r="F262" s="10">
        <v>24</v>
      </c>
      <c r="G262" s="11" t="s">
        <v>147</v>
      </c>
    </row>
    <row r="263" spans="2:7" x14ac:dyDescent="0.35">
      <c r="B263" s="6"/>
      <c r="C263" s="7"/>
      <c r="D263" s="8"/>
      <c r="E263" s="9" t="s">
        <v>161</v>
      </c>
      <c r="F263" s="10">
        <v>24</v>
      </c>
      <c r="G263" s="11" t="s">
        <v>147</v>
      </c>
    </row>
    <row r="264" spans="2:7" x14ac:dyDescent="0.35">
      <c r="B264" s="6"/>
      <c r="C264" s="16" t="s">
        <v>494</v>
      </c>
      <c r="D264" s="17"/>
      <c r="E264" s="18"/>
      <c r="F264" s="19">
        <f>SUM(F260:F263)</f>
        <v>96</v>
      </c>
      <c r="G264" s="20"/>
    </row>
    <row r="265" spans="2:7" x14ac:dyDescent="0.35">
      <c r="B265" s="6"/>
      <c r="C265" s="27" t="s">
        <v>495</v>
      </c>
      <c r="D265" s="28">
        <v>5065970</v>
      </c>
      <c r="E265" s="9" t="s">
        <v>158</v>
      </c>
      <c r="F265" s="10">
        <v>24</v>
      </c>
      <c r="G265" s="11" t="s">
        <v>147</v>
      </c>
    </row>
    <row r="266" spans="2:7" x14ac:dyDescent="0.35">
      <c r="B266" s="6"/>
      <c r="C266" s="27"/>
      <c r="D266" s="28"/>
      <c r="E266" s="9" t="s">
        <v>64</v>
      </c>
      <c r="F266" s="10">
        <v>24</v>
      </c>
      <c r="G266" s="11" t="s">
        <v>147</v>
      </c>
    </row>
    <row r="267" spans="2:7" x14ac:dyDescent="0.35">
      <c r="B267" s="6"/>
      <c r="C267" s="7"/>
      <c r="D267" s="8"/>
      <c r="E267" s="9" t="s">
        <v>161</v>
      </c>
      <c r="F267" s="10">
        <v>24</v>
      </c>
      <c r="G267" s="11" t="s">
        <v>147</v>
      </c>
    </row>
    <row r="268" spans="2:7" x14ac:dyDescent="0.35">
      <c r="B268" s="6"/>
      <c r="C268" s="16" t="s">
        <v>496</v>
      </c>
      <c r="D268" s="17"/>
      <c r="E268" s="18"/>
      <c r="F268" s="19">
        <f>SUM(F265:F267)</f>
        <v>72</v>
      </c>
      <c r="G268" s="20"/>
    </row>
    <row r="269" spans="2:7" x14ac:dyDescent="0.35">
      <c r="B269" s="6"/>
      <c r="C269" s="27" t="s">
        <v>497</v>
      </c>
      <c r="D269" s="28">
        <v>5065971</v>
      </c>
      <c r="E269" s="9" t="s">
        <v>158</v>
      </c>
      <c r="F269" s="10">
        <v>24</v>
      </c>
      <c r="G269" s="11" t="s">
        <v>147</v>
      </c>
    </row>
    <row r="270" spans="2:7" x14ac:dyDescent="0.35">
      <c r="B270" s="6"/>
      <c r="C270" s="27"/>
      <c r="D270" s="28"/>
      <c r="E270" s="9" t="s">
        <v>64</v>
      </c>
      <c r="F270" s="10">
        <v>24</v>
      </c>
      <c r="G270" s="11" t="s">
        <v>147</v>
      </c>
    </row>
    <row r="271" spans="2:7" x14ac:dyDescent="0.35">
      <c r="B271" s="6"/>
      <c r="C271" s="27"/>
      <c r="D271" s="28"/>
      <c r="E271" s="9" t="s">
        <v>160</v>
      </c>
      <c r="F271" s="10">
        <v>24</v>
      </c>
      <c r="G271" s="11" t="s">
        <v>147</v>
      </c>
    </row>
    <row r="272" spans="2:7" x14ac:dyDescent="0.35">
      <c r="B272" s="6"/>
      <c r="C272" s="7"/>
      <c r="D272" s="8"/>
      <c r="E272" s="9" t="s">
        <v>161</v>
      </c>
      <c r="F272" s="10">
        <v>24</v>
      </c>
      <c r="G272" s="11" t="s">
        <v>147</v>
      </c>
    </row>
    <row r="273" spans="2:7" x14ac:dyDescent="0.35">
      <c r="B273" s="6"/>
      <c r="C273" s="16" t="s">
        <v>498</v>
      </c>
      <c r="D273" s="17"/>
      <c r="E273" s="18"/>
      <c r="F273" s="19">
        <f>SUM(F269:F272)</f>
        <v>96</v>
      </c>
      <c r="G273" s="20"/>
    </row>
    <row r="274" spans="2:7" x14ac:dyDescent="0.35">
      <c r="B274" s="6"/>
      <c r="C274" s="27" t="s">
        <v>499</v>
      </c>
      <c r="D274" s="28">
        <v>5065972</v>
      </c>
      <c r="E274" s="9" t="s">
        <v>158</v>
      </c>
      <c r="F274" s="10">
        <v>24</v>
      </c>
      <c r="G274" s="11" t="s">
        <v>147</v>
      </c>
    </row>
    <row r="275" spans="2:7" x14ac:dyDescent="0.35">
      <c r="B275" s="6"/>
      <c r="C275" s="27"/>
      <c r="D275" s="28"/>
      <c r="E275" s="9" t="s">
        <v>64</v>
      </c>
      <c r="F275" s="10">
        <v>24</v>
      </c>
      <c r="G275" s="11" t="s">
        <v>147</v>
      </c>
    </row>
    <row r="276" spans="2:7" x14ac:dyDescent="0.35">
      <c r="B276" s="6"/>
      <c r="C276" s="27"/>
      <c r="D276" s="28"/>
      <c r="E276" s="9" t="s">
        <v>160</v>
      </c>
      <c r="F276" s="10">
        <v>24</v>
      </c>
      <c r="G276" s="11" t="s">
        <v>147</v>
      </c>
    </row>
    <row r="277" spans="2:7" x14ac:dyDescent="0.35">
      <c r="B277" s="6"/>
      <c r="C277" s="7"/>
      <c r="D277" s="8"/>
      <c r="E277" s="9" t="s">
        <v>161</v>
      </c>
      <c r="F277" s="10">
        <v>24</v>
      </c>
      <c r="G277" s="11" t="s">
        <v>147</v>
      </c>
    </row>
    <row r="278" spans="2:7" x14ac:dyDescent="0.35">
      <c r="B278" s="6"/>
      <c r="C278" s="16" t="s">
        <v>500</v>
      </c>
      <c r="D278" s="17"/>
      <c r="E278" s="18"/>
      <c r="F278" s="19">
        <f>SUM(F274:F277)</f>
        <v>96</v>
      </c>
      <c r="G278" s="20"/>
    </row>
    <row r="279" spans="2:7" x14ac:dyDescent="0.35">
      <c r="B279" s="6"/>
      <c r="C279" s="27" t="s">
        <v>501</v>
      </c>
      <c r="D279" s="28">
        <v>5065973</v>
      </c>
      <c r="E279" s="9" t="s">
        <v>158</v>
      </c>
      <c r="F279" s="10">
        <v>12</v>
      </c>
      <c r="G279" s="11" t="s">
        <v>147</v>
      </c>
    </row>
    <row r="280" spans="2:7" x14ac:dyDescent="0.35">
      <c r="B280" s="6"/>
      <c r="C280" s="27"/>
      <c r="D280" s="28"/>
      <c r="E280" s="9"/>
      <c r="F280" s="10">
        <v>22</v>
      </c>
      <c r="G280" s="11" t="s">
        <v>147</v>
      </c>
    </row>
    <row r="281" spans="2:7" x14ac:dyDescent="0.35">
      <c r="B281" s="6"/>
      <c r="C281" s="27"/>
      <c r="D281" s="28"/>
      <c r="E281" s="9"/>
      <c r="F281" s="10">
        <v>23</v>
      </c>
      <c r="G281" s="11" t="s">
        <v>147</v>
      </c>
    </row>
    <row r="282" spans="2:7" x14ac:dyDescent="0.35">
      <c r="B282" s="6"/>
      <c r="C282" s="27"/>
      <c r="D282" s="28"/>
      <c r="E282" s="9" t="s">
        <v>160</v>
      </c>
      <c r="F282" s="10">
        <v>6</v>
      </c>
      <c r="G282" s="11" t="s">
        <v>147</v>
      </c>
    </row>
    <row r="283" spans="2:7" x14ac:dyDescent="0.35">
      <c r="B283" s="6"/>
      <c r="C283" s="27"/>
      <c r="D283" s="28"/>
      <c r="E283" s="9"/>
      <c r="F283" s="10">
        <v>13</v>
      </c>
      <c r="G283" s="11" t="s">
        <v>147</v>
      </c>
    </row>
    <row r="284" spans="2:7" x14ac:dyDescent="0.35">
      <c r="B284" s="6"/>
      <c r="C284" s="27"/>
      <c r="D284" s="28"/>
      <c r="E284" s="9"/>
      <c r="F284" s="10">
        <v>12</v>
      </c>
      <c r="G284" s="11" t="s">
        <v>147</v>
      </c>
    </row>
    <row r="285" spans="2:7" x14ac:dyDescent="0.35">
      <c r="B285" s="6"/>
      <c r="C285" s="27"/>
      <c r="D285" s="28"/>
      <c r="E285" s="9" t="s">
        <v>161</v>
      </c>
      <c r="F285" s="10">
        <v>6</v>
      </c>
      <c r="G285" s="11" t="s">
        <v>147</v>
      </c>
    </row>
    <row r="286" spans="2:7" x14ac:dyDescent="0.35">
      <c r="B286" s="6"/>
      <c r="C286" s="27"/>
      <c r="D286" s="28"/>
      <c r="E286" s="9"/>
      <c r="F286" s="10">
        <v>13</v>
      </c>
      <c r="G286" s="11" t="s">
        <v>147</v>
      </c>
    </row>
    <row r="287" spans="2:7" x14ac:dyDescent="0.35">
      <c r="B287" s="6"/>
      <c r="C287" s="7"/>
      <c r="D287" s="8"/>
      <c r="E287" s="9"/>
      <c r="F287" s="10">
        <v>12</v>
      </c>
      <c r="G287" s="11" t="s">
        <v>147</v>
      </c>
    </row>
    <row r="288" spans="2:7" x14ac:dyDescent="0.35">
      <c r="B288" s="6"/>
      <c r="C288" s="16" t="s">
        <v>502</v>
      </c>
      <c r="D288" s="17"/>
      <c r="E288" s="18"/>
      <c r="F288" s="19">
        <f>SUM(F279:F287)</f>
        <v>119</v>
      </c>
      <c r="G288" s="20"/>
    </row>
    <row r="289" spans="2:7" x14ac:dyDescent="0.35">
      <c r="B289" s="6"/>
      <c r="C289" s="27" t="s">
        <v>503</v>
      </c>
      <c r="D289" s="28">
        <v>5065974</v>
      </c>
      <c r="E289" s="9" t="s">
        <v>158</v>
      </c>
      <c r="F289" s="10">
        <v>24</v>
      </c>
      <c r="G289" s="11" t="s">
        <v>147</v>
      </c>
    </row>
    <row r="290" spans="2:7" x14ac:dyDescent="0.35">
      <c r="B290" s="6"/>
      <c r="C290" s="27"/>
      <c r="D290" s="28"/>
      <c r="E290" s="9" t="s">
        <v>64</v>
      </c>
      <c r="F290" s="10">
        <v>24</v>
      </c>
      <c r="G290" s="11" t="s">
        <v>147</v>
      </c>
    </row>
    <row r="291" spans="2:7" x14ac:dyDescent="0.35">
      <c r="B291" s="6"/>
      <c r="C291" s="27"/>
      <c r="D291" s="28"/>
      <c r="E291" s="9" t="s">
        <v>160</v>
      </c>
      <c r="F291" s="10">
        <v>24</v>
      </c>
      <c r="G291" s="11" t="s">
        <v>147</v>
      </c>
    </row>
    <row r="292" spans="2:7" x14ac:dyDescent="0.35">
      <c r="B292" s="6"/>
      <c r="C292" s="7"/>
      <c r="D292" s="8"/>
      <c r="E292" s="9" t="s">
        <v>161</v>
      </c>
      <c r="F292" s="10">
        <v>24</v>
      </c>
      <c r="G292" s="11" t="s">
        <v>147</v>
      </c>
    </row>
    <row r="293" spans="2:7" x14ac:dyDescent="0.35">
      <c r="B293" s="6"/>
      <c r="C293" s="16" t="s">
        <v>504</v>
      </c>
      <c r="D293" s="17"/>
      <c r="E293" s="18"/>
      <c r="F293" s="19">
        <f>SUM(F289:F292)</f>
        <v>96</v>
      </c>
      <c r="G293" s="20"/>
    </row>
    <row r="294" spans="2:7" x14ac:dyDescent="0.35">
      <c r="B294" s="6"/>
      <c r="C294" s="27" t="s">
        <v>505</v>
      </c>
      <c r="D294" s="28">
        <v>5065975</v>
      </c>
      <c r="E294" s="9" t="s">
        <v>158</v>
      </c>
      <c r="F294" s="10">
        <v>68</v>
      </c>
      <c r="G294" s="11" t="s">
        <v>147</v>
      </c>
    </row>
    <row r="295" spans="2:7" x14ac:dyDescent="0.35">
      <c r="B295" s="6"/>
      <c r="C295" s="27"/>
      <c r="D295" s="28"/>
      <c r="E295" s="9" t="s">
        <v>64</v>
      </c>
      <c r="F295" s="10">
        <v>61</v>
      </c>
      <c r="G295" s="11" t="s">
        <v>147</v>
      </c>
    </row>
    <row r="296" spans="2:7" x14ac:dyDescent="0.35">
      <c r="B296" s="6"/>
      <c r="C296" s="27"/>
      <c r="D296" s="28"/>
      <c r="E296" s="9" t="s">
        <v>160</v>
      </c>
      <c r="F296" s="10">
        <v>56</v>
      </c>
      <c r="G296" s="11" t="s">
        <v>147</v>
      </c>
    </row>
    <row r="297" spans="2:7" x14ac:dyDescent="0.35">
      <c r="B297" s="6"/>
      <c r="C297" s="7"/>
      <c r="D297" s="8"/>
      <c r="E297" s="9" t="s">
        <v>161</v>
      </c>
      <c r="F297" s="10">
        <v>68</v>
      </c>
      <c r="G297" s="11" t="s">
        <v>147</v>
      </c>
    </row>
    <row r="298" spans="2:7" x14ac:dyDescent="0.35">
      <c r="B298" s="6"/>
      <c r="C298" s="16" t="s">
        <v>506</v>
      </c>
      <c r="D298" s="17"/>
      <c r="E298" s="18"/>
      <c r="F298" s="19">
        <f>SUM(F294:F297)</f>
        <v>253</v>
      </c>
      <c r="G298" s="20"/>
    </row>
    <row r="299" spans="2:7" x14ac:dyDescent="0.35">
      <c r="B299" s="6"/>
      <c r="C299" s="27" t="s">
        <v>507</v>
      </c>
      <c r="D299" s="28">
        <v>5065409</v>
      </c>
      <c r="E299" s="9" t="s">
        <v>337</v>
      </c>
      <c r="F299" s="10">
        <v>20</v>
      </c>
      <c r="G299" s="11" t="s">
        <v>147</v>
      </c>
    </row>
    <row r="300" spans="2:7" x14ac:dyDescent="0.35">
      <c r="B300" s="6"/>
      <c r="C300" s="7"/>
      <c r="D300" s="8"/>
      <c r="E300" s="9"/>
      <c r="F300" s="10">
        <v>52</v>
      </c>
      <c r="G300" s="11" t="s">
        <v>147</v>
      </c>
    </row>
    <row r="301" spans="2:7" x14ac:dyDescent="0.35">
      <c r="B301" s="6"/>
      <c r="C301" s="16" t="s">
        <v>508</v>
      </c>
      <c r="D301" s="17"/>
      <c r="E301" s="18"/>
      <c r="F301" s="19">
        <f>SUM(F299:F300)</f>
        <v>72</v>
      </c>
      <c r="G301" s="20"/>
    </row>
    <row r="302" spans="2:7" x14ac:dyDescent="0.35">
      <c r="B302" s="6"/>
      <c r="C302" s="7" t="s">
        <v>509</v>
      </c>
      <c r="D302" s="8">
        <v>5065410</v>
      </c>
      <c r="E302" s="9" t="s">
        <v>134</v>
      </c>
      <c r="F302" s="10">
        <v>72</v>
      </c>
      <c r="G302" s="11" t="s">
        <v>147</v>
      </c>
    </row>
    <row r="303" spans="2:7" x14ac:dyDescent="0.35">
      <c r="B303" s="6"/>
      <c r="C303" s="16" t="s">
        <v>510</v>
      </c>
      <c r="D303" s="17"/>
      <c r="E303" s="18"/>
      <c r="F303" s="19">
        <f>SUM(F302)</f>
        <v>72</v>
      </c>
      <c r="G303" s="20"/>
    </row>
    <row r="304" spans="2:7" x14ac:dyDescent="0.35">
      <c r="B304" s="6"/>
      <c r="C304" s="7" t="s">
        <v>353</v>
      </c>
      <c r="D304" s="8">
        <v>5065231</v>
      </c>
      <c r="E304" s="9" t="s">
        <v>56</v>
      </c>
      <c r="F304" s="10">
        <v>722</v>
      </c>
      <c r="G304" s="11"/>
    </row>
    <row r="305" spans="2:7" x14ac:dyDescent="0.35">
      <c r="B305" s="29"/>
      <c r="C305" s="16" t="s">
        <v>355</v>
      </c>
      <c r="D305" s="17"/>
      <c r="E305" s="18"/>
      <c r="F305" s="19">
        <f>SUM(F304)</f>
        <v>722</v>
      </c>
      <c r="G305" s="20"/>
    </row>
    <row r="306" spans="2:7" x14ac:dyDescent="0.35">
      <c r="B306" s="22" t="s">
        <v>22</v>
      </c>
      <c r="C306" s="23"/>
      <c r="D306" s="24"/>
      <c r="E306" s="24"/>
      <c r="F306" s="25">
        <f>SUM(F305,F303,F301,F298,F293,F288,F278,F273,F268,F264,F259,F254,F249,F244,F241,F239,F237,F234,F232,F230,F228,F226,F220,F217,F215,F213,F211,F206,F201,F199,F196,F191,F186,F181,F177,F171,F166,F161,F157,F155,F153,F150,F148,F145,F143,F141,F138,F135,F133,F129,F126,F124,F122,F120,F118,F116,F113,F110,F107,F104,F101,F92,F88,F83,F80,F78,F75,F73,F71,F69,F67,F65,F63,F61,F59,F57,F55,F52,F50,F48,F46,F42,F40,F31,F29,F27,F25,F22,F19,F16,F8,F6)</f>
        <v>71298</v>
      </c>
      <c r="G306" s="1"/>
    </row>
    <row r="308" spans="2:7" x14ac:dyDescent="0.35">
      <c r="B308" s="2" t="s">
        <v>1</v>
      </c>
      <c r="C308" s="2" t="s">
        <v>2</v>
      </c>
      <c r="D308" s="3" t="s">
        <v>3</v>
      </c>
      <c r="E308" s="2" t="s">
        <v>4</v>
      </c>
      <c r="F308" s="4" t="s">
        <v>5</v>
      </c>
      <c r="G308" s="5" t="s">
        <v>6</v>
      </c>
    </row>
    <row r="309" spans="2:7" x14ac:dyDescent="0.35">
      <c r="B309" s="47" t="s">
        <v>189</v>
      </c>
      <c r="C309" s="37">
        <v>103371</v>
      </c>
      <c r="D309" s="8">
        <v>4500000044</v>
      </c>
      <c r="E309" s="9" t="s">
        <v>515</v>
      </c>
      <c r="F309" s="10">
        <v>1100</v>
      </c>
      <c r="G309" s="11"/>
    </row>
    <row r="310" spans="2:7" x14ac:dyDescent="0.35">
      <c r="B310" s="6"/>
      <c r="C310" s="38" t="s">
        <v>516</v>
      </c>
      <c r="D310" s="17"/>
      <c r="E310" s="18"/>
      <c r="F310" s="19">
        <f>SUM(F309)</f>
        <v>1100</v>
      </c>
      <c r="G310" s="20"/>
    </row>
    <row r="311" spans="2:7" x14ac:dyDescent="0.35">
      <c r="B311" s="6"/>
      <c r="C311" s="37">
        <v>103376</v>
      </c>
      <c r="D311" s="8">
        <v>4500000044</v>
      </c>
      <c r="E311" s="9" t="s">
        <v>517</v>
      </c>
      <c r="F311" s="10">
        <v>1000</v>
      </c>
      <c r="G311" s="11"/>
    </row>
    <row r="312" spans="2:7" x14ac:dyDescent="0.35">
      <c r="B312" s="29"/>
      <c r="C312" s="38" t="s">
        <v>518</v>
      </c>
      <c r="D312" s="17"/>
      <c r="E312" s="18"/>
      <c r="F312" s="19">
        <f>SUM(F311)</f>
        <v>1000</v>
      </c>
      <c r="G312" s="20"/>
    </row>
    <row r="313" spans="2:7" x14ac:dyDescent="0.35">
      <c r="B313" s="22" t="s">
        <v>519</v>
      </c>
      <c r="C313" s="23"/>
      <c r="D313" s="24"/>
      <c r="E313" s="24"/>
      <c r="F313" s="25">
        <f>SUM(F312,F310)</f>
        <v>2100</v>
      </c>
      <c r="G313" s="1"/>
    </row>
  </sheetData>
  <mergeCells count="3">
    <mergeCell ref="B2:G2"/>
    <mergeCell ref="I2:N2"/>
    <mergeCell ref="P2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73F1-C4D4-43D9-BD00-9163B59365BD}">
  <dimension ref="B2:U50"/>
  <sheetViews>
    <sheetView topLeftCell="A37" zoomScale="70" zoomScaleNormal="70" workbookViewId="0">
      <selection activeCell="K56" sqref="K56"/>
    </sheetView>
  </sheetViews>
  <sheetFormatPr baseColWidth="10" defaultColWidth="11.453125" defaultRowHeight="14.5" x14ac:dyDescent="0.35"/>
  <cols>
    <col min="1" max="1" width="1.54296875" style="1" customWidth="1"/>
    <col min="2" max="2" width="9.7265625" style="1" customWidth="1"/>
    <col min="3" max="3" width="11.90625" style="26" customWidth="1"/>
    <col min="4" max="4" width="11.26953125" style="26" customWidth="1"/>
    <col min="5" max="5" width="21.1796875" style="1" customWidth="1"/>
    <col min="6" max="6" width="14" style="30" customWidth="1"/>
    <col min="7" max="7" width="11.453125" style="31"/>
    <col min="8" max="8" width="2.7265625" style="1" customWidth="1"/>
    <col min="9" max="9" width="10.6328125" style="1" customWidth="1"/>
    <col min="10" max="10" width="12.26953125" style="26" customWidth="1"/>
    <col min="11" max="11" width="13.7265625" style="26" customWidth="1"/>
    <col min="12" max="12" width="17.26953125" style="1" customWidth="1"/>
    <col min="13" max="13" width="14" style="30" customWidth="1"/>
    <col min="14" max="14" width="11.453125" style="1"/>
    <col min="15" max="15" width="1.7265625" style="1" customWidth="1"/>
    <col min="16" max="16" width="10.08984375" style="1" customWidth="1"/>
    <col min="17" max="17" width="11.6328125" style="26" customWidth="1"/>
    <col min="18" max="18" width="12.08984375" style="26" customWidth="1"/>
    <col min="19" max="19" width="17.26953125" style="1" customWidth="1"/>
    <col min="20" max="20" width="13" style="1" customWidth="1"/>
    <col min="21" max="16384" width="11.453125" style="1"/>
  </cols>
  <sheetData>
    <row r="2" spans="2:21" x14ac:dyDescent="0.35">
      <c r="B2" s="42" t="s">
        <v>0</v>
      </c>
      <c r="C2" s="43"/>
      <c r="D2" s="43"/>
      <c r="E2" s="43"/>
      <c r="F2" s="43"/>
      <c r="G2" s="44"/>
      <c r="I2" s="42" t="s">
        <v>0</v>
      </c>
      <c r="J2" s="43"/>
      <c r="K2" s="43"/>
      <c r="L2" s="43"/>
      <c r="M2" s="43"/>
      <c r="N2" s="44"/>
      <c r="P2" s="45" t="s">
        <v>0</v>
      </c>
      <c r="Q2" s="46"/>
      <c r="R2" s="46"/>
      <c r="S2" s="46"/>
      <c r="T2" s="46"/>
      <c r="U2" s="46"/>
    </row>
    <row r="4" spans="2:21" x14ac:dyDescent="0.35">
      <c r="B4" s="2" t="s">
        <v>1</v>
      </c>
      <c r="C4" s="2" t="s">
        <v>2</v>
      </c>
      <c r="D4" s="3" t="s">
        <v>3</v>
      </c>
      <c r="E4" s="2" t="s">
        <v>4</v>
      </c>
      <c r="F4" s="4" t="s">
        <v>5</v>
      </c>
      <c r="G4" s="5" t="s">
        <v>6</v>
      </c>
      <c r="I4" s="2" t="s">
        <v>1</v>
      </c>
      <c r="J4" s="2" t="s">
        <v>2</v>
      </c>
      <c r="K4" s="3" t="s">
        <v>3</v>
      </c>
      <c r="L4" s="2" t="s">
        <v>4</v>
      </c>
      <c r="M4" s="4" t="s">
        <v>5</v>
      </c>
      <c r="N4" s="5" t="s">
        <v>6</v>
      </c>
      <c r="P4" s="2" t="s">
        <v>1</v>
      </c>
      <c r="Q4" s="2" t="s">
        <v>2</v>
      </c>
      <c r="R4" s="3" t="s">
        <v>3</v>
      </c>
      <c r="S4" s="2" t="s">
        <v>4</v>
      </c>
      <c r="T4" s="4" t="s">
        <v>5</v>
      </c>
      <c r="U4" s="5" t="s">
        <v>6</v>
      </c>
    </row>
    <row r="5" spans="2:21" x14ac:dyDescent="0.35">
      <c r="B5" s="6" t="s">
        <v>7</v>
      </c>
      <c r="C5" s="7" t="s">
        <v>58</v>
      </c>
      <c r="D5" s="8">
        <v>5062792</v>
      </c>
      <c r="E5" s="9" t="s">
        <v>59</v>
      </c>
      <c r="F5" s="10">
        <v>367</v>
      </c>
      <c r="G5" s="11" t="s">
        <v>511</v>
      </c>
      <c r="I5" s="12" t="s">
        <v>8</v>
      </c>
      <c r="J5" s="34" t="s">
        <v>39</v>
      </c>
      <c r="K5" s="34" t="s">
        <v>49</v>
      </c>
      <c r="L5" s="34" t="s">
        <v>14</v>
      </c>
      <c r="M5" s="33">
        <v>700</v>
      </c>
      <c r="N5" s="14"/>
      <c r="P5" s="12" t="s">
        <v>18</v>
      </c>
      <c r="Q5" s="34">
        <v>39716</v>
      </c>
      <c r="R5" s="34">
        <v>1691497</v>
      </c>
      <c r="S5" s="34" t="s">
        <v>17</v>
      </c>
      <c r="T5" s="33">
        <v>799</v>
      </c>
      <c r="U5" s="14"/>
    </row>
    <row r="6" spans="2:21" x14ac:dyDescent="0.35">
      <c r="B6" s="6" t="s">
        <v>9</v>
      </c>
      <c r="C6" s="16" t="s">
        <v>60</v>
      </c>
      <c r="D6" s="17"/>
      <c r="E6" s="18"/>
      <c r="F6" s="19">
        <f>SUM(F5)</f>
        <v>367</v>
      </c>
      <c r="G6" s="20"/>
      <c r="I6" s="12"/>
      <c r="J6" s="34" t="s">
        <v>521</v>
      </c>
      <c r="K6" s="34" t="s">
        <v>522</v>
      </c>
      <c r="L6" s="34" t="s">
        <v>523</v>
      </c>
      <c r="M6" s="33">
        <v>1334</v>
      </c>
      <c r="N6" s="14"/>
      <c r="P6" s="12"/>
      <c r="Q6" s="34">
        <v>30488</v>
      </c>
      <c r="R6" s="34">
        <v>1684302</v>
      </c>
      <c r="S6" s="34" t="s">
        <v>19</v>
      </c>
      <c r="T6" s="33">
        <v>1500</v>
      </c>
      <c r="U6" s="14"/>
    </row>
    <row r="7" spans="2:21" x14ac:dyDescent="0.35">
      <c r="B7" s="6"/>
      <c r="C7" s="7" t="s">
        <v>153</v>
      </c>
      <c r="D7" s="8">
        <v>5066085</v>
      </c>
      <c r="E7" s="9" t="s">
        <v>542</v>
      </c>
      <c r="F7" s="10">
        <v>1824</v>
      </c>
      <c r="G7" s="11"/>
      <c r="I7" s="12"/>
      <c r="J7" s="34" t="s">
        <v>521</v>
      </c>
      <c r="K7" s="34" t="s">
        <v>522</v>
      </c>
      <c r="L7" s="34" t="s">
        <v>38</v>
      </c>
      <c r="M7" s="33">
        <v>1002</v>
      </c>
      <c r="N7" s="14"/>
      <c r="P7" s="12"/>
      <c r="Q7" s="34">
        <v>33300</v>
      </c>
      <c r="R7" s="34">
        <v>1684302</v>
      </c>
      <c r="S7" s="34" t="s">
        <v>19</v>
      </c>
      <c r="T7" s="33">
        <v>800</v>
      </c>
      <c r="U7" s="14"/>
    </row>
    <row r="8" spans="2:21" x14ac:dyDescent="0.35">
      <c r="B8" s="6"/>
      <c r="C8" s="16" t="s">
        <v>157</v>
      </c>
      <c r="D8" s="17"/>
      <c r="E8" s="18"/>
      <c r="F8" s="19">
        <f>SUM(F7)</f>
        <v>1824</v>
      </c>
      <c r="G8" s="20"/>
      <c r="I8" s="12"/>
      <c r="J8" s="34" t="s">
        <v>524</v>
      </c>
      <c r="K8" s="34" t="s">
        <v>525</v>
      </c>
      <c r="L8" s="34" t="s">
        <v>10</v>
      </c>
      <c r="M8" s="33">
        <v>1000</v>
      </c>
      <c r="N8" s="14"/>
      <c r="P8" s="12"/>
      <c r="Q8" s="34">
        <v>40895</v>
      </c>
      <c r="R8" s="34">
        <v>1684302</v>
      </c>
      <c r="S8" s="34" t="s">
        <v>19</v>
      </c>
      <c r="T8" s="33">
        <v>1000</v>
      </c>
      <c r="U8" s="14"/>
    </row>
    <row r="9" spans="2:21" x14ac:dyDescent="0.35">
      <c r="B9" s="6"/>
      <c r="C9" s="7" t="s">
        <v>256</v>
      </c>
      <c r="D9" s="8">
        <v>5065773</v>
      </c>
      <c r="E9" s="9" t="s">
        <v>326</v>
      </c>
      <c r="F9" s="10">
        <v>1292</v>
      </c>
      <c r="G9" s="11"/>
      <c r="I9" s="12"/>
      <c r="J9" s="34" t="s">
        <v>526</v>
      </c>
      <c r="K9" s="34" t="s">
        <v>527</v>
      </c>
      <c r="L9" s="34" t="s">
        <v>528</v>
      </c>
      <c r="M9" s="33">
        <v>2714</v>
      </c>
      <c r="N9" s="14"/>
      <c r="P9" s="7"/>
      <c r="Q9" s="34">
        <v>30488</v>
      </c>
      <c r="R9" s="34">
        <v>1684350</v>
      </c>
      <c r="S9" s="34" t="s">
        <v>19</v>
      </c>
      <c r="T9" s="33">
        <v>300</v>
      </c>
      <c r="U9" s="14"/>
    </row>
    <row r="10" spans="2:21" x14ac:dyDescent="0.35">
      <c r="B10" s="6"/>
      <c r="C10" s="16" t="s">
        <v>257</v>
      </c>
      <c r="D10" s="17"/>
      <c r="E10" s="18"/>
      <c r="F10" s="19">
        <f>SUM(F9)</f>
        <v>1292</v>
      </c>
      <c r="G10" s="20"/>
      <c r="I10" s="12"/>
      <c r="J10" s="34" t="s">
        <v>529</v>
      </c>
      <c r="K10" s="34" t="s">
        <v>530</v>
      </c>
      <c r="L10" s="34" t="s">
        <v>38</v>
      </c>
      <c r="M10" s="33">
        <v>500</v>
      </c>
      <c r="N10" s="14"/>
      <c r="P10" s="22" t="s">
        <v>27</v>
      </c>
      <c r="Q10" s="23"/>
      <c r="R10" s="24"/>
      <c r="S10" s="24"/>
      <c r="T10" s="25">
        <f>SUM(T5:T9)</f>
        <v>4399</v>
      </c>
      <c r="U10"/>
    </row>
    <row r="11" spans="2:21" x14ac:dyDescent="0.35">
      <c r="B11" s="6"/>
      <c r="C11" s="7" t="s">
        <v>133</v>
      </c>
      <c r="D11" s="8">
        <v>5066092</v>
      </c>
      <c r="E11" s="9" t="s">
        <v>542</v>
      </c>
      <c r="F11" s="10">
        <v>48</v>
      </c>
      <c r="G11" s="11"/>
      <c r="I11" s="12"/>
      <c r="J11" s="34" t="s">
        <v>524</v>
      </c>
      <c r="K11" s="34" t="s">
        <v>531</v>
      </c>
      <c r="L11" s="34" t="s">
        <v>10</v>
      </c>
      <c r="M11" s="33">
        <v>92</v>
      </c>
      <c r="N11" s="14"/>
    </row>
    <row r="12" spans="2:21" x14ac:dyDescent="0.35">
      <c r="B12" s="6"/>
      <c r="C12" s="16" t="s">
        <v>135</v>
      </c>
      <c r="D12" s="17"/>
      <c r="E12" s="18"/>
      <c r="F12" s="19">
        <f>SUM(F11)</f>
        <v>48</v>
      </c>
      <c r="G12" s="20"/>
      <c r="I12" s="12"/>
      <c r="J12" s="34" t="s">
        <v>228</v>
      </c>
      <c r="K12" s="34" t="s">
        <v>229</v>
      </c>
      <c r="L12" s="34" t="s">
        <v>14</v>
      </c>
      <c r="M12" s="33">
        <v>78</v>
      </c>
      <c r="N12" s="14" t="s">
        <v>71</v>
      </c>
      <c r="P12" s="2" t="s">
        <v>1</v>
      </c>
      <c r="Q12" s="2" t="s">
        <v>2</v>
      </c>
      <c r="R12" s="3" t="s">
        <v>3</v>
      </c>
      <c r="S12" s="2" t="s">
        <v>4</v>
      </c>
      <c r="T12" s="4" t="s">
        <v>5</v>
      </c>
      <c r="U12" s="5" t="s">
        <v>6</v>
      </c>
    </row>
    <row r="13" spans="2:21" x14ac:dyDescent="0.35">
      <c r="B13" s="6"/>
      <c r="C13" s="7" t="s">
        <v>543</v>
      </c>
      <c r="D13" s="8">
        <v>5066560</v>
      </c>
      <c r="E13" s="9" t="s">
        <v>544</v>
      </c>
      <c r="F13" s="10">
        <v>400</v>
      </c>
      <c r="G13" s="11"/>
      <c r="I13" s="12"/>
      <c r="J13" s="34" t="s">
        <v>532</v>
      </c>
      <c r="K13" s="34" t="s">
        <v>533</v>
      </c>
      <c r="L13" s="34" t="s">
        <v>38</v>
      </c>
      <c r="M13" s="33">
        <v>2858</v>
      </c>
      <c r="N13" s="14"/>
      <c r="P13" s="12" t="s">
        <v>215</v>
      </c>
      <c r="Q13" s="35" t="s">
        <v>99</v>
      </c>
      <c r="R13" s="41">
        <v>45703</v>
      </c>
      <c r="S13" s="13" t="s">
        <v>100</v>
      </c>
      <c r="T13" s="10">
        <v>100</v>
      </c>
      <c r="U13" s="14" t="s">
        <v>51</v>
      </c>
    </row>
    <row r="14" spans="2:21" x14ac:dyDescent="0.35">
      <c r="B14" s="6"/>
      <c r="C14" s="16" t="s">
        <v>545</v>
      </c>
      <c r="D14" s="17"/>
      <c r="E14" s="18"/>
      <c r="F14" s="19">
        <f>SUM(F13)</f>
        <v>400</v>
      </c>
      <c r="G14" s="20"/>
      <c r="I14" s="12"/>
      <c r="J14" s="34" t="s">
        <v>534</v>
      </c>
      <c r="K14" s="34" t="s">
        <v>535</v>
      </c>
      <c r="L14" s="34" t="s">
        <v>38</v>
      </c>
      <c r="M14" s="33">
        <v>342</v>
      </c>
      <c r="N14" s="14"/>
      <c r="P14" s="12"/>
      <c r="Q14" s="35" t="s">
        <v>81</v>
      </c>
      <c r="R14" s="41">
        <v>45517</v>
      </c>
      <c r="S14" s="13" t="s">
        <v>41</v>
      </c>
      <c r="T14" s="10">
        <v>600</v>
      </c>
      <c r="U14" s="14"/>
    </row>
    <row r="15" spans="2:21" x14ac:dyDescent="0.35">
      <c r="B15" s="6"/>
      <c r="C15" s="7" t="s">
        <v>546</v>
      </c>
      <c r="D15" s="8">
        <v>5066562</v>
      </c>
      <c r="E15" s="9" t="s">
        <v>547</v>
      </c>
      <c r="F15" s="10">
        <v>400</v>
      </c>
      <c r="G15" s="11"/>
      <c r="I15" s="12"/>
      <c r="J15" s="34" t="s">
        <v>37</v>
      </c>
      <c r="K15" s="34" t="s">
        <v>225</v>
      </c>
      <c r="L15" s="34" t="s">
        <v>226</v>
      </c>
      <c r="M15" s="33">
        <v>500</v>
      </c>
      <c r="N15" s="14"/>
      <c r="P15" s="21"/>
      <c r="Q15" s="35" t="s">
        <v>81</v>
      </c>
      <c r="R15" s="41">
        <v>45517</v>
      </c>
      <c r="S15" s="13" t="s">
        <v>82</v>
      </c>
      <c r="T15" s="10">
        <v>600</v>
      </c>
      <c r="U15" s="14"/>
    </row>
    <row r="16" spans="2:21" x14ac:dyDescent="0.35">
      <c r="B16" s="6"/>
      <c r="C16" s="16" t="s">
        <v>548</v>
      </c>
      <c r="D16" s="17"/>
      <c r="E16" s="18"/>
      <c r="F16" s="19">
        <f>SUM(F15)</f>
        <v>400</v>
      </c>
      <c r="G16" s="20"/>
      <c r="I16" s="21"/>
      <c r="J16" s="34" t="s">
        <v>37</v>
      </c>
      <c r="K16" s="34" t="s">
        <v>225</v>
      </c>
      <c r="L16" s="34" t="s">
        <v>227</v>
      </c>
      <c r="M16" s="33">
        <v>28</v>
      </c>
      <c r="N16" s="14" t="s">
        <v>71</v>
      </c>
      <c r="P16" s="22" t="s">
        <v>11</v>
      </c>
      <c r="Q16" s="23"/>
      <c r="R16" s="24"/>
      <c r="S16" s="24"/>
      <c r="T16" s="25">
        <f>SUM(T13:T15)</f>
        <v>1300</v>
      </c>
      <c r="U16"/>
    </row>
    <row r="17" spans="2:14" x14ac:dyDescent="0.35">
      <c r="B17" s="6"/>
      <c r="C17" s="7" t="s">
        <v>381</v>
      </c>
      <c r="D17" s="8">
        <v>5067013</v>
      </c>
      <c r="E17" s="9" t="s">
        <v>382</v>
      </c>
      <c r="F17" s="10">
        <v>356</v>
      </c>
      <c r="G17" s="11"/>
      <c r="I17" s="22" t="s">
        <v>16</v>
      </c>
      <c r="J17" s="23"/>
      <c r="K17" s="24"/>
      <c r="L17" s="24"/>
      <c r="M17" s="25">
        <f>SUM(M5:M16)</f>
        <v>11148</v>
      </c>
      <c r="N17"/>
    </row>
    <row r="18" spans="2:14" x14ac:dyDescent="0.35">
      <c r="B18" s="6"/>
      <c r="C18" s="16" t="s">
        <v>383</v>
      </c>
      <c r="D18" s="17"/>
      <c r="E18" s="18"/>
      <c r="F18" s="19">
        <f>SUM(F17)</f>
        <v>356</v>
      </c>
      <c r="G18" s="20"/>
      <c r="M18" s="1"/>
    </row>
    <row r="19" spans="2:14" x14ac:dyDescent="0.35">
      <c r="B19" s="6"/>
      <c r="C19" s="7" t="s">
        <v>148</v>
      </c>
      <c r="D19" s="8">
        <v>5064863</v>
      </c>
      <c r="E19" s="9" t="s">
        <v>326</v>
      </c>
      <c r="F19" s="10">
        <v>455</v>
      </c>
      <c r="G19" s="11"/>
      <c r="I19" s="2" t="s">
        <v>1</v>
      </c>
      <c r="J19" s="2" t="s">
        <v>2</v>
      </c>
      <c r="K19" s="3" t="s">
        <v>3</v>
      </c>
      <c r="L19" s="2" t="s">
        <v>4</v>
      </c>
      <c r="M19" s="4" t="s">
        <v>5</v>
      </c>
      <c r="N19" s="5" t="s">
        <v>6</v>
      </c>
    </row>
    <row r="20" spans="2:14" ht="14.25" customHeight="1" x14ac:dyDescent="0.35">
      <c r="B20" s="6"/>
      <c r="C20" s="16" t="s">
        <v>149</v>
      </c>
      <c r="D20" s="17"/>
      <c r="E20" s="18"/>
      <c r="F20" s="19">
        <f>SUM(F19)</f>
        <v>455</v>
      </c>
      <c r="G20" s="20"/>
      <c r="I20" s="12" t="s">
        <v>75</v>
      </c>
      <c r="J20" s="34" t="s">
        <v>76</v>
      </c>
      <c r="K20" s="34" t="s">
        <v>536</v>
      </c>
      <c r="L20" s="34" t="s">
        <v>77</v>
      </c>
      <c r="M20" s="33">
        <v>750</v>
      </c>
      <c r="N20" s="14"/>
    </row>
    <row r="21" spans="2:14" x14ac:dyDescent="0.35">
      <c r="B21" s="6"/>
      <c r="C21" s="7" t="s">
        <v>396</v>
      </c>
      <c r="D21" s="8">
        <v>5066112</v>
      </c>
      <c r="E21" s="9" t="s">
        <v>549</v>
      </c>
      <c r="F21" s="10">
        <v>884</v>
      </c>
      <c r="G21" s="11"/>
      <c r="I21" s="21"/>
      <c r="J21" s="34" t="s">
        <v>76</v>
      </c>
      <c r="K21" s="34" t="s">
        <v>536</v>
      </c>
      <c r="L21" s="34" t="s">
        <v>537</v>
      </c>
      <c r="M21" s="33">
        <v>578</v>
      </c>
      <c r="N21" s="14"/>
    </row>
    <row r="22" spans="2:14" x14ac:dyDescent="0.35">
      <c r="B22" s="6"/>
      <c r="C22" s="16" t="s">
        <v>399</v>
      </c>
      <c r="D22" s="17"/>
      <c r="E22" s="18"/>
      <c r="F22" s="19">
        <f>SUM(F21)</f>
        <v>884</v>
      </c>
      <c r="G22" s="20"/>
      <c r="I22" s="22" t="s">
        <v>28</v>
      </c>
      <c r="J22" s="23"/>
      <c r="K22" s="24"/>
      <c r="L22" s="24"/>
      <c r="M22" s="25">
        <f>SUM(M20:M21)</f>
        <v>1328</v>
      </c>
      <c r="N22"/>
    </row>
    <row r="23" spans="2:14" x14ac:dyDescent="0.35">
      <c r="B23" s="6"/>
      <c r="C23" s="7" t="s">
        <v>268</v>
      </c>
      <c r="D23" s="8">
        <v>5066839</v>
      </c>
      <c r="E23" s="9" t="s">
        <v>15</v>
      </c>
      <c r="F23" s="10">
        <v>1246</v>
      </c>
      <c r="G23" s="11"/>
      <c r="M23" s="1"/>
    </row>
    <row r="24" spans="2:14" ht="14.25" customHeight="1" x14ac:dyDescent="0.35">
      <c r="B24" s="29"/>
      <c r="C24" s="16" t="s">
        <v>269</v>
      </c>
      <c r="D24" s="17"/>
      <c r="E24" s="18"/>
      <c r="F24" s="19">
        <f>SUM(F23)</f>
        <v>1246</v>
      </c>
      <c r="G24" s="20"/>
    </row>
    <row r="25" spans="2:14" ht="13.5" customHeight="1" x14ac:dyDescent="0.35">
      <c r="B25" s="22" t="s">
        <v>22</v>
      </c>
      <c r="C25" s="23"/>
      <c r="D25" s="24"/>
      <c r="E25" s="24"/>
      <c r="F25" s="25">
        <f>SUM(F24,F22,F20,F18,F16,F14,F12,F10,F8,F6)</f>
        <v>7272</v>
      </c>
      <c r="G25" s="1"/>
    </row>
    <row r="26" spans="2:14" ht="14.25" customHeight="1" x14ac:dyDescent="0.35"/>
    <row r="27" spans="2:14" x14ac:dyDescent="0.35">
      <c r="B27" s="2" t="s">
        <v>1</v>
      </c>
      <c r="C27" s="2" t="s">
        <v>2</v>
      </c>
      <c r="D27" s="3" t="s">
        <v>3</v>
      </c>
      <c r="E27" s="2" t="s">
        <v>4</v>
      </c>
      <c r="F27" s="4" t="s">
        <v>5</v>
      </c>
      <c r="G27" s="5" t="s">
        <v>6</v>
      </c>
    </row>
    <row r="28" spans="2:14" x14ac:dyDescent="0.35">
      <c r="B28" s="47" t="s">
        <v>189</v>
      </c>
      <c r="C28" s="49">
        <v>101624</v>
      </c>
      <c r="D28" s="40">
        <v>4500000044</v>
      </c>
      <c r="E28" s="48" t="s">
        <v>512</v>
      </c>
      <c r="F28" s="10">
        <v>1000</v>
      </c>
      <c r="G28" s="11"/>
    </row>
    <row r="29" spans="2:14" ht="15" customHeight="1" x14ac:dyDescent="0.35">
      <c r="B29" s="6"/>
      <c r="C29" s="38" t="s">
        <v>513</v>
      </c>
      <c r="D29" s="17"/>
      <c r="E29" s="18"/>
      <c r="F29" s="19">
        <f>SUM(F28)</f>
        <v>1000</v>
      </c>
      <c r="G29" s="20"/>
    </row>
    <row r="30" spans="2:14" ht="15" customHeight="1" x14ac:dyDescent="0.35">
      <c r="B30" s="6"/>
      <c r="C30" s="49">
        <v>101625</v>
      </c>
      <c r="D30" s="40">
        <v>4500000044</v>
      </c>
      <c r="E30" s="48" t="s">
        <v>512</v>
      </c>
      <c r="F30" s="10">
        <v>1000</v>
      </c>
      <c r="G30" s="11"/>
    </row>
    <row r="31" spans="2:14" x14ac:dyDescent="0.35">
      <c r="B31" s="6"/>
      <c r="C31" s="38" t="s">
        <v>550</v>
      </c>
      <c r="D31" s="17"/>
      <c r="E31" s="18"/>
      <c r="F31" s="19">
        <f>SUM(F30)</f>
        <v>1000</v>
      </c>
      <c r="G31" s="20"/>
    </row>
    <row r="32" spans="2:14" ht="14.25" customHeight="1" x14ac:dyDescent="0.35">
      <c r="B32" s="6"/>
      <c r="C32" s="37">
        <v>101933</v>
      </c>
      <c r="D32" s="8">
        <v>4500000044</v>
      </c>
      <c r="E32" s="9" t="s">
        <v>512</v>
      </c>
      <c r="F32" s="10">
        <v>2000</v>
      </c>
      <c r="G32" s="11"/>
    </row>
    <row r="33" spans="2:7" ht="14.25" customHeight="1" x14ac:dyDescent="0.35">
      <c r="B33" s="6"/>
      <c r="C33" s="38" t="s">
        <v>514</v>
      </c>
      <c r="D33" s="17"/>
      <c r="E33" s="18"/>
      <c r="F33" s="19">
        <f>SUM(F32)</f>
        <v>2000</v>
      </c>
      <c r="G33" s="20"/>
    </row>
    <row r="34" spans="2:7" ht="14.25" customHeight="1" x14ac:dyDescent="0.35">
      <c r="B34" s="6"/>
      <c r="C34" s="49">
        <v>103374</v>
      </c>
      <c r="D34" s="40">
        <v>4500000044</v>
      </c>
      <c r="E34" s="48" t="s">
        <v>551</v>
      </c>
      <c r="F34" s="10">
        <v>2000</v>
      </c>
      <c r="G34" s="11"/>
    </row>
    <row r="35" spans="2:7" ht="14.25" customHeight="1" x14ac:dyDescent="0.35">
      <c r="B35" s="6"/>
      <c r="C35" s="38" t="s">
        <v>552</v>
      </c>
      <c r="D35" s="17"/>
      <c r="E35" s="18"/>
      <c r="F35" s="19">
        <f>SUM(F34)</f>
        <v>2000</v>
      </c>
      <c r="G35" s="20"/>
    </row>
    <row r="36" spans="2:7" x14ac:dyDescent="0.35">
      <c r="B36" s="6"/>
      <c r="C36" s="37">
        <v>103380</v>
      </c>
      <c r="D36" s="8">
        <v>4500000044</v>
      </c>
      <c r="E36" s="9" t="s">
        <v>551</v>
      </c>
      <c r="F36" s="10">
        <v>2100</v>
      </c>
      <c r="G36" s="11"/>
    </row>
    <row r="37" spans="2:7" x14ac:dyDescent="0.35">
      <c r="B37" s="29"/>
      <c r="C37" s="38" t="s">
        <v>553</v>
      </c>
      <c r="D37" s="17"/>
      <c r="E37" s="18"/>
      <c r="F37" s="19">
        <f>SUM(F36)</f>
        <v>2100</v>
      </c>
      <c r="G37" s="20"/>
    </row>
    <row r="38" spans="2:7" x14ac:dyDescent="0.35">
      <c r="B38" s="22" t="s">
        <v>519</v>
      </c>
      <c r="C38" s="23"/>
      <c r="D38" s="24"/>
      <c r="E38" s="24"/>
      <c r="F38" s="25">
        <f>SUM(F37,F35,F33,F31,F29)</f>
        <v>8100</v>
      </c>
      <c r="G38" s="1"/>
    </row>
    <row r="40" spans="2:7" x14ac:dyDescent="0.35">
      <c r="B40" s="2" t="s">
        <v>1</v>
      </c>
      <c r="C40" s="2" t="s">
        <v>2</v>
      </c>
      <c r="D40" s="3" t="s">
        <v>3</v>
      </c>
      <c r="E40" s="2" t="s">
        <v>4</v>
      </c>
      <c r="F40" s="4" t="s">
        <v>5</v>
      </c>
      <c r="G40" s="5" t="s">
        <v>6</v>
      </c>
    </row>
    <row r="41" spans="2:7" x14ac:dyDescent="0.35">
      <c r="B41" s="27" t="s">
        <v>34</v>
      </c>
      <c r="C41" s="50">
        <v>10156341</v>
      </c>
      <c r="D41" s="28">
        <v>4900010675</v>
      </c>
      <c r="E41" s="9" t="s">
        <v>554</v>
      </c>
      <c r="F41" s="10">
        <v>1720</v>
      </c>
      <c r="G41" s="11"/>
    </row>
    <row r="42" spans="2:7" x14ac:dyDescent="0.35">
      <c r="B42" s="6" t="s">
        <v>35</v>
      </c>
      <c r="C42" s="50"/>
      <c r="D42" s="28"/>
      <c r="E42" s="9" t="s">
        <v>555</v>
      </c>
      <c r="F42" s="10">
        <v>2720</v>
      </c>
      <c r="G42" s="11"/>
    </row>
    <row r="43" spans="2:7" x14ac:dyDescent="0.35">
      <c r="B43" s="6"/>
      <c r="C43" s="50"/>
      <c r="D43" s="28"/>
      <c r="E43" s="9" t="s">
        <v>556</v>
      </c>
      <c r="F43" s="10">
        <v>1720</v>
      </c>
      <c r="G43" s="11"/>
    </row>
    <row r="44" spans="2:7" x14ac:dyDescent="0.35">
      <c r="B44" s="6"/>
      <c r="C44" s="50"/>
      <c r="D44" s="28"/>
      <c r="E44" s="9" t="s">
        <v>557</v>
      </c>
      <c r="F44" s="10">
        <v>2720</v>
      </c>
      <c r="G44" s="11"/>
    </row>
    <row r="45" spans="2:7" x14ac:dyDescent="0.35">
      <c r="B45" s="6"/>
      <c r="C45" s="37"/>
      <c r="D45" s="8">
        <v>4900010677</v>
      </c>
      <c r="E45" s="9" t="s">
        <v>50</v>
      </c>
      <c r="F45" s="10">
        <v>2720</v>
      </c>
      <c r="G45" s="11"/>
    </row>
    <row r="46" spans="2:7" x14ac:dyDescent="0.35">
      <c r="B46" s="6"/>
      <c r="C46" s="38" t="s">
        <v>70</v>
      </c>
      <c r="D46" s="17"/>
      <c r="E46" s="18"/>
      <c r="F46" s="19">
        <f>SUM(F41:F45)</f>
        <v>11600</v>
      </c>
      <c r="G46" s="20"/>
    </row>
    <row r="47" spans="2:7" x14ac:dyDescent="0.35">
      <c r="B47" s="6"/>
      <c r="C47" s="50">
        <v>10156342</v>
      </c>
      <c r="D47" s="28">
        <v>4900010676</v>
      </c>
      <c r="E47" s="9" t="s">
        <v>558</v>
      </c>
      <c r="F47" s="10">
        <v>2720</v>
      </c>
      <c r="G47" s="11"/>
    </row>
    <row r="48" spans="2:7" x14ac:dyDescent="0.35">
      <c r="B48" s="6"/>
      <c r="C48" s="37"/>
      <c r="D48" s="8"/>
      <c r="E48" s="9" t="s">
        <v>559</v>
      </c>
      <c r="F48" s="10">
        <v>2720</v>
      </c>
      <c r="G48" s="11"/>
    </row>
    <row r="49" spans="2:7" x14ac:dyDescent="0.35">
      <c r="B49" s="29"/>
      <c r="C49" s="38" t="s">
        <v>560</v>
      </c>
      <c r="D49" s="17"/>
      <c r="E49" s="18"/>
      <c r="F49" s="19">
        <f>SUM(F47:F48)</f>
        <v>5440</v>
      </c>
      <c r="G49" s="20"/>
    </row>
    <row r="50" spans="2:7" x14ac:dyDescent="0.35">
      <c r="B50" s="22" t="s">
        <v>36</v>
      </c>
      <c r="C50" s="23"/>
      <c r="D50" s="24"/>
      <c r="E50" s="24"/>
      <c r="F50" s="25">
        <f>SUM(F49,F46)</f>
        <v>17040</v>
      </c>
      <c r="G50" s="1"/>
    </row>
  </sheetData>
  <mergeCells count="3">
    <mergeCell ref="B2:G2"/>
    <mergeCell ref="I2:N2"/>
    <mergeCell ref="P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Auditorias Sem 25</vt:lpstr>
      <vt:lpstr>Proyeccion Sem 26</vt:lpstr>
      <vt:lpstr>Proyeccion Sem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Gonzales</dc:creator>
  <cp:lastModifiedBy>Soporte CMT</cp:lastModifiedBy>
  <dcterms:created xsi:type="dcterms:W3CDTF">2026-01-04T15:19:26Z</dcterms:created>
  <dcterms:modified xsi:type="dcterms:W3CDTF">2026-06-15T00:48:39Z</dcterms:modified>
</cp:coreProperties>
</file>