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tdelsursac-my.sharepoint.com/personal/oquispe_cmtdelsur_com/Documents/Escritorio/Proyecto_Seguimiento_Costura/"/>
    </mc:Choice>
  </mc:AlternateContent>
  <xr:revisionPtr revIDLastSave="5" documentId="8_{73DF2317-7629-4009-AA55-D8C8C1A84F25}" xr6:coauthVersionLast="47" xr6:coauthVersionMax="47" xr10:uidLastSave="{84DB6CC0-0C6E-4758-AAEA-B15AFF9C0F43}"/>
  <bookViews>
    <workbookView xWindow="-60" yWindow="-16320" windowWidth="29040" windowHeight="15720" activeTab="1" xr2:uid="{BA2CA4CA-F78D-4C9D-8A91-924D436651CA}"/>
  </bookViews>
  <sheets>
    <sheet name="Auditorias Sem 23" sheetId="1" r:id="rId1"/>
    <sheet name="Proyeccion Sem 24" sheetId="2" r:id="rId2"/>
    <sheet name="Proyeccion Sem 25" sheetId="3" r:id="rId3"/>
  </sheets>
  <definedNames>
    <definedName name="_xlnm._FilterDatabase" localSheetId="1" hidden="1">'Proyeccion Sem 24'!$B$4:$G$17</definedName>
    <definedName name="_xlnm._FilterDatabase" localSheetId="2" hidden="1">'Proyeccion Sem 25'!$B$4:$G$20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6" i="3" l="1"/>
  <c r="T35" i="3"/>
  <c r="M16" i="3" l="1"/>
  <c r="M9" i="2"/>
  <c r="M10" i="1"/>
  <c r="F67" i="3" l="1"/>
  <c r="F65" i="3"/>
  <c r="F63" i="3"/>
  <c r="F55" i="3"/>
  <c r="F53" i="3"/>
  <c r="F48" i="3"/>
  <c r="F46" i="3"/>
  <c r="F43" i="3"/>
  <c r="F40" i="3"/>
  <c r="F38" i="3"/>
  <c r="F36" i="3"/>
  <c r="F34" i="3"/>
  <c r="F32" i="3"/>
  <c r="F27" i="3"/>
  <c r="F19" i="3"/>
  <c r="F17" i="3"/>
  <c r="F15" i="3"/>
  <c r="F13" i="3"/>
  <c r="F11" i="3"/>
  <c r="F9" i="3"/>
  <c r="F6" i="3"/>
  <c r="F47" i="2"/>
  <c r="F48" i="2" s="1"/>
  <c r="F42" i="2"/>
  <c r="F35" i="2"/>
  <c r="F29" i="2"/>
  <c r="F69" i="1"/>
  <c r="F70" i="1" s="1"/>
  <c r="F67" i="1"/>
  <c r="F64" i="1"/>
  <c r="F60" i="1"/>
  <c r="F56" i="1"/>
  <c r="F54" i="1"/>
  <c r="F52" i="1"/>
  <c r="F50" i="1"/>
  <c r="F48" i="1"/>
  <c r="F46" i="1"/>
  <c r="F39" i="1"/>
  <c r="F21" i="1"/>
  <c r="F15" i="1"/>
  <c r="F13" i="1"/>
  <c r="F17" i="2"/>
  <c r="F18" i="2" s="1"/>
  <c r="F15" i="2"/>
  <c r="F12" i="2"/>
  <c r="F10" i="2"/>
  <c r="F7" i="2"/>
  <c r="F44" i="1"/>
  <c r="F42" i="1"/>
  <c r="F33" i="1"/>
  <c r="T45" i="2"/>
  <c r="T60" i="2"/>
  <c r="T52" i="2"/>
  <c r="T18" i="2"/>
  <c r="F56" i="3" l="1"/>
  <c r="F43" i="2"/>
  <c r="F68" i="3"/>
  <c r="F49" i="3"/>
  <c r="F20" i="3"/>
  <c r="M17" i="2" l="1"/>
  <c r="T24" i="1" l="1"/>
  <c r="T10" i="1"/>
  <c r="T35" i="1"/>
  <c r="F27" i="1" l="1"/>
  <c r="F25" i="1"/>
  <c r="F23" i="1"/>
  <c r="F8" i="1"/>
  <c r="F6" i="1"/>
  <c r="T6" i="1"/>
  <c r="F28" i="1" l="1"/>
</calcChain>
</file>

<file path=xl/sharedStrings.xml><?xml version="1.0" encoding="utf-8"?>
<sst xmlns="http://schemas.openxmlformats.org/spreadsheetml/2006/main" count="707" uniqueCount="311">
  <si>
    <t>AUDITORIAS EXTERNAS</t>
  </si>
  <si>
    <t>CLIENTE</t>
  </si>
  <si>
    <t>ESTILO</t>
  </si>
  <si>
    <t>PO</t>
  </si>
  <si>
    <t>Color</t>
  </si>
  <si>
    <t>Cant. Prog.</t>
  </si>
  <si>
    <t>Externa</t>
  </si>
  <si>
    <t>VINEYARD</t>
  </si>
  <si>
    <t>TRAVIS M.</t>
  </si>
  <si>
    <t>VINES</t>
  </si>
  <si>
    <t xml:space="preserve">WHITE               </t>
  </si>
  <si>
    <t>TOTAL PETER MILLAR</t>
  </si>
  <si>
    <t xml:space="preserve">TOTAL ECLIPSE       </t>
  </si>
  <si>
    <t>0100 - White Cap</t>
  </si>
  <si>
    <t>TOTAL TRAVIS M.</t>
  </si>
  <si>
    <t>WHITE - WHITE</t>
  </si>
  <si>
    <t>FOOT JOY</t>
  </si>
  <si>
    <t>NAVY - NAVY</t>
  </si>
  <si>
    <t>0456 - Jake blue</t>
  </si>
  <si>
    <t>6V0019</t>
  </si>
  <si>
    <t>Total 6V0019</t>
  </si>
  <si>
    <t>HEATHER GREY - HEATHER GREY</t>
  </si>
  <si>
    <t>TOTAL VINEYARDS VINES</t>
  </si>
  <si>
    <t>GULF - GULF</t>
  </si>
  <si>
    <t>MIDNIGHT - MIDNIGHT</t>
  </si>
  <si>
    <t>STITCH</t>
  </si>
  <si>
    <t>TOTAL STITCH</t>
  </si>
  <si>
    <t>TOTAL FOOT JOY</t>
  </si>
  <si>
    <t>TOTAL TRAVIS MATHEW</t>
  </si>
  <si>
    <t>MF26XK55E</t>
  </si>
  <si>
    <t>0461 - Moonshine</t>
  </si>
  <si>
    <t>241SA3000</t>
  </si>
  <si>
    <t>ONYX - ONYX</t>
  </si>
  <si>
    <t>CRIMSON - CRIMSON</t>
  </si>
  <si>
    <t>ARTURO</t>
  </si>
  <si>
    <t>CALLE</t>
  </si>
  <si>
    <t>TOTAL ARTURO CALLE</t>
  </si>
  <si>
    <t xml:space="preserve">BLACK               </t>
  </si>
  <si>
    <t xml:space="preserve">BLUE NIGHTS         </t>
  </si>
  <si>
    <t>GALE - GALE GREY</t>
  </si>
  <si>
    <t>PSYCHO</t>
  </si>
  <si>
    <t>BUNNY</t>
  </si>
  <si>
    <t xml:space="preserve">ROASTED CASHEW      </t>
  </si>
  <si>
    <t>FERNWOOD - FERNWOOD</t>
  </si>
  <si>
    <t>000SA0010</t>
  </si>
  <si>
    <t>261SA0032</t>
  </si>
  <si>
    <t>000SA0007</t>
  </si>
  <si>
    <t>000SA0000</t>
  </si>
  <si>
    <t>ARE 300 - ARE 300</t>
  </si>
  <si>
    <t>Repo</t>
  </si>
  <si>
    <t>000SA0009</t>
  </si>
  <si>
    <t>251SA3000</t>
  </si>
  <si>
    <t>2° Parcial</t>
  </si>
  <si>
    <t>L707 - OLIVE/BACKNINEGRN</t>
  </si>
  <si>
    <t>K558 - OLIVE DUSK</t>
  </si>
  <si>
    <t>K576 - COASTAL CRIMSON</t>
  </si>
  <si>
    <t>1V024855</t>
  </si>
  <si>
    <t>Total 1V024855</t>
  </si>
  <si>
    <t>K707 - Rocks Blue</t>
  </si>
  <si>
    <t>MAUVE ORCHID - MAUVE ORCHID</t>
  </si>
  <si>
    <t>POWDER BLUE - POWDER BLUE</t>
  </si>
  <si>
    <t>1V015009</t>
  </si>
  <si>
    <t>Total 1V015009</t>
  </si>
  <si>
    <t>1G011024</t>
  </si>
  <si>
    <t>Total 1G011024</t>
  </si>
  <si>
    <t>6V0115</t>
  </si>
  <si>
    <t>Total 6V0115</t>
  </si>
  <si>
    <t>C410 - Bleached Aqua</t>
  </si>
  <si>
    <t>Total 10156341</t>
  </si>
  <si>
    <t>2do despacho</t>
  </si>
  <si>
    <t>A47059</t>
  </si>
  <si>
    <t>4602618396</t>
  </si>
  <si>
    <t>A47061</t>
  </si>
  <si>
    <t>4602618397</t>
  </si>
  <si>
    <t>000SA0005</t>
  </si>
  <si>
    <t>TASC</t>
  </si>
  <si>
    <t>TOTAL TASC</t>
  </si>
  <si>
    <t>TW1077</t>
  </si>
  <si>
    <t>PO0001730</t>
  </si>
  <si>
    <t>001 - BLACK</t>
  </si>
  <si>
    <t>104 - COCONUT</t>
  </si>
  <si>
    <t>416 - CLASSIC NAVY</t>
  </si>
  <si>
    <t>453 - CLOUD</t>
  </si>
  <si>
    <t>0406 - Blue Blazer</t>
  </si>
  <si>
    <t xml:space="preserve">  </t>
  </si>
  <si>
    <t>1V015011</t>
  </si>
  <si>
    <t>Total 1V015011</t>
  </si>
  <si>
    <t>6V1570</t>
  </si>
  <si>
    <t>Total 6V1570</t>
  </si>
  <si>
    <t>2do Parcial</t>
  </si>
  <si>
    <t>PETER M.</t>
  </si>
  <si>
    <t xml:space="preserve">ME0XK63 </t>
  </si>
  <si>
    <t>NAV - NAVY</t>
  </si>
  <si>
    <t>CRIQUET</t>
  </si>
  <si>
    <t>M-KNIT-057</t>
  </si>
  <si>
    <t>TH260123-PERF</t>
  </si>
  <si>
    <t>Medieval Blue - Medieval Blue</t>
  </si>
  <si>
    <t>Anthracite - Anthracite</t>
  </si>
  <si>
    <t>Bright White - Bright White</t>
  </si>
  <si>
    <t>Custom Burnt Orange - Custom Burnt Orange</t>
  </si>
  <si>
    <t>Peacoat - Peacoat</t>
  </si>
  <si>
    <t>Scarlet Smile - Scarlet Smile</t>
  </si>
  <si>
    <t>Blue Bell - Blue Bell</t>
  </si>
  <si>
    <t>M-KNIT-211</t>
  </si>
  <si>
    <t>TH260125-211</t>
  </si>
  <si>
    <t>Nightshadow Blue - Nightshadow Blue</t>
  </si>
  <si>
    <t>Teak - Teak</t>
  </si>
  <si>
    <t>Ultimate Gray - Ultimate Gray</t>
  </si>
  <si>
    <t>TOTAL CRIQUET</t>
  </si>
  <si>
    <t>A48300</t>
  </si>
  <si>
    <t>4602524981</t>
  </si>
  <si>
    <t>A47021</t>
  </si>
  <si>
    <t>4602567251</t>
  </si>
  <si>
    <t xml:space="preserve">CHINOIS GREEN       </t>
  </si>
  <si>
    <t xml:space="preserve">QUIET HARBOR        </t>
  </si>
  <si>
    <t>A47875</t>
  </si>
  <si>
    <t>4602567244</t>
  </si>
  <si>
    <t>4602567281</t>
  </si>
  <si>
    <t>A48185</t>
  </si>
  <si>
    <t>363330</t>
  </si>
  <si>
    <t>4602567247</t>
  </si>
  <si>
    <t>TOTAL PSYCHO BUNNY</t>
  </si>
  <si>
    <t>A47443</t>
  </si>
  <si>
    <t>4602567243</t>
  </si>
  <si>
    <t xml:space="preserve">Mauveglow           </t>
  </si>
  <si>
    <t>MT0100217</t>
  </si>
  <si>
    <t>419384_BULK</t>
  </si>
  <si>
    <t xml:space="preserve">NAVY PEONY          </t>
  </si>
  <si>
    <t>MT0100198</t>
  </si>
  <si>
    <t>419392_BULK</t>
  </si>
  <si>
    <t>BT0100037</t>
  </si>
  <si>
    <t>420002_BULK</t>
  </si>
  <si>
    <t>1er Parcial</t>
  </si>
  <si>
    <t>TM876</t>
  </si>
  <si>
    <t>PO0001791</t>
  </si>
  <si>
    <t>275 - OATMEAL</t>
  </si>
  <si>
    <t>TM885</t>
  </si>
  <si>
    <t>233 - TAN</t>
  </si>
  <si>
    <t xml:space="preserve">PETER </t>
  </si>
  <si>
    <t>MILLAR</t>
  </si>
  <si>
    <t>MF26XK63</t>
  </si>
  <si>
    <t>MRPNK - MELROSE PINK</t>
  </si>
  <si>
    <t>DOLI - DARK OLIVE</t>
  </si>
  <si>
    <t>WHT - WHITE</t>
  </si>
  <si>
    <t>MF26XK56E</t>
  </si>
  <si>
    <t>WDB/D - WINDY BLUE / DARK OLIVE</t>
  </si>
  <si>
    <t>WDYBL - WINDY BLUE</t>
  </si>
  <si>
    <t>MF26XK57E</t>
  </si>
  <si>
    <t>LMOCH - LIGHT MOCHA</t>
  </si>
  <si>
    <t>1664234 1664235</t>
  </si>
  <si>
    <t>PEACH - PEACH</t>
  </si>
  <si>
    <t>BIRCH - BIRCH</t>
  </si>
  <si>
    <t>GREEN - GREEN</t>
  </si>
  <si>
    <t>Lavender Aura/Windwa - Lavender Aura/Windward</t>
  </si>
  <si>
    <t>Navy Tonal - Navy Tonal</t>
  </si>
  <si>
    <t>White/Nantucket/Rivi - White/Nantucket/RivieraBlue</t>
  </si>
  <si>
    <t>SAGE GREEN - SAGE GREEN</t>
  </si>
  <si>
    <t>BLACK - BLACK</t>
  </si>
  <si>
    <t>CHARCOAL HEATHER - CHARCOAL HEATHER</t>
  </si>
  <si>
    <t>WHITE/BLUE/LIGHTBLUE - WHITE/BLUE/LIGHTBLUE</t>
  </si>
  <si>
    <t>NAVY/TONAL NAVY/LT. - NAVY/TONAL NAVY/LT. BLUE</t>
  </si>
  <si>
    <t>HEATHER NAVY - HEATHER NAVY</t>
  </si>
  <si>
    <t>RIVIERA BLUE - RIVIERA BLUE</t>
  </si>
  <si>
    <t>BLUE BREEZE/ORCHID S - BLUE BREEZE/ORCHID SMOKE</t>
  </si>
  <si>
    <t>TH251212-PERF</t>
  </si>
  <si>
    <t>Pineneedle/Dahlia Pu - Pineneedle/Dahlia Purple</t>
  </si>
  <si>
    <t>RHOBACK</t>
  </si>
  <si>
    <t>MPOL0007</t>
  </si>
  <si>
    <t>PO0007761</t>
  </si>
  <si>
    <t>THE BUCK - PONDEROSA - THE BUCK - PONDEROSA GREEN/WHITE</t>
  </si>
  <si>
    <t>PO0007762</t>
  </si>
  <si>
    <t>THE TROUT - WHITE/AN - THE TROUT - WHITE/ANTIGUA GREEN</t>
  </si>
  <si>
    <t>PO0007763</t>
  </si>
  <si>
    <t>THE DECOY - WHITE/ST - THE DECOY - WHITE/STRATUS GREY</t>
  </si>
  <si>
    <t>PO0007764</t>
  </si>
  <si>
    <t>THE WAVING FLAG - WH - THE WAVING FLAG - WHITE/POINSETTIA RED</t>
  </si>
  <si>
    <t>PO0007765</t>
  </si>
  <si>
    <t>THE MIDNIGHT MARTINI - THE MIDNIGHT MARTINI - WHITE/BUNKER BLUE</t>
  </si>
  <si>
    <t>TOTAL RHOBACK</t>
  </si>
  <si>
    <t>261SA0016</t>
  </si>
  <si>
    <t>LIGHT GRAY - LIGHT GRAY</t>
  </si>
  <si>
    <t>221SA0004</t>
  </si>
  <si>
    <t>3G010100</t>
  </si>
  <si>
    <t>L156 - COASTAL CRIMSON</t>
  </si>
  <si>
    <t>L157 - RIPTIDE BLUE</t>
  </si>
  <si>
    <t>L158 - OFFSHORE GREEN</t>
  </si>
  <si>
    <t>Total 3G010100</t>
  </si>
  <si>
    <t>3G010618</t>
  </si>
  <si>
    <t>Total 3G010618</t>
  </si>
  <si>
    <t>3G010648</t>
  </si>
  <si>
    <t>L605 - BALL TOSS MICRO</t>
  </si>
  <si>
    <t>K894 - FLYING FOOTBALLS</t>
  </si>
  <si>
    <t>L567 - CROSSED WHALE DOT</t>
  </si>
  <si>
    <t>L802 - GOLF DOODLES</t>
  </si>
  <si>
    <t>L807 - MULTI SPORT</t>
  </si>
  <si>
    <t>Total 3G010648</t>
  </si>
  <si>
    <t>3V012921</t>
  </si>
  <si>
    <t>Total 3V012921</t>
  </si>
  <si>
    <t>1G013785</t>
  </si>
  <si>
    <t>L706 - SHELL GRAY/MOONSHINE</t>
  </si>
  <si>
    <t>L710 - BREAKER/MOONSHINE</t>
  </si>
  <si>
    <t>Total 1G013785</t>
  </si>
  <si>
    <t>1V014097</t>
  </si>
  <si>
    <t>Total 1V014097</t>
  </si>
  <si>
    <t>0039 - Grey Heather</t>
  </si>
  <si>
    <t>1V024854</t>
  </si>
  <si>
    <t>Total 1V024854</t>
  </si>
  <si>
    <t>1V025482</t>
  </si>
  <si>
    <t>Total 1V025482</t>
  </si>
  <si>
    <t>2V003413</t>
  </si>
  <si>
    <t>Total 2V003413</t>
  </si>
  <si>
    <t>2V003415</t>
  </si>
  <si>
    <t>Total 2V003415</t>
  </si>
  <si>
    <t>3G010775</t>
  </si>
  <si>
    <t>L572 - BLUE PALMETTO</t>
  </si>
  <si>
    <t>Total 3G010775</t>
  </si>
  <si>
    <t>0987 - Summer Evening</t>
  </si>
  <si>
    <t>7V002105</t>
  </si>
  <si>
    <t>Total 7V002105</t>
  </si>
  <si>
    <t>CUSTOM</t>
  </si>
  <si>
    <t>2V002342</t>
  </si>
  <si>
    <t>M286 - VIVID ORCHID</t>
  </si>
  <si>
    <t>M287 - LOWCOUNTRY LODEN</t>
  </si>
  <si>
    <t>Total 2V002342</t>
  </si>
  <si>
    <t>3G010175</t>
  </si>
  <si>
    <t>Total 3G010175</t>
  </si>
  <si>
    <t>M444 - FIELD GOALS</t>
  </si>
  <si>
    <t>3V012262</t>
  </si>
  <si>
    <t>Total 3V012262</t>
  </si>
  <si>
    <t>7V001686</t>
  </si>
  <si>
    <t>Total 7V001686</t>
  </si>
  <si>
    <t>1V014049</t>
  </si>
  <si>
    <t>Total 1V014049</t>
  </si>
  <si>
    <t>1V024875</t>
  </si>
  <si>
    <t>0111 - Marshmallow</t>
  </si>
  <si>
    <t>Total 1V024875</t>
  </si>
  <si>
    <t>2V002894</t>
  </si>
  <si>
    <t>Total 2V002894</t>
  </si>
  <si>
    <t>2V003382</t>
  </si>
  <si>
    <t>Total 2V003382</t>
  </si>
  <si>
    <t>2V003392</t>
  </si>
  <si>
    <t>Total 2V003392</t>
  </si>
  <si>
    <t>3V0164</t>
  </si>
  <si>
    <t>Total 3V0164</t>
  </si>
  <si>
    <t>5066556 5067892</t>
  </si>
  <si>
    <t>1G010159</t>
  </si>
  <si>
    <t>6789 - OCEAN BREEZE TEJ</t>
  </si>
  <si>
    <t>E870 - WHITE/GRAY HARB TEJ</t>
  </si>
  <si>
    <t>I828 - WHITE/LIGHTHOUSE RED</t>
  </si>
  <si>
    <t>M565 - CRIMSON / BLUE DEPTH</t>
  </si>
  <si>
    <t>5065147 5066582</t>
  </si>
  <si>
    <t>6790 - YACHT BLUE TEJEDA</t>
  </si>
  <si>
    <t>Total 1G010159</t>
  </si>
  <si>
    <t>3193 - OCEAN BREEZE</t>
  </si>
  <si>
    <t>3194 - LIGHTHOUSE RED</t>
  </si>
  <si>
    <t>7813 - WHITE CAP/TEJEDA</t>
  </si>
  <si>
    <t>7815 - WHITE CAP/KINGFISHER</t>
  </si>
  <si>
    <t>L254 - WC/MMT</t>
  </si>
  <si>
    <t>1G013219</t>
  </si>
  <si>
    <t>0588 - BLUE DEPTH</t>
  </si>
  <si>
    <t>4497 - ASH GRAY</t>
  </si>
  <si>
    <t>Total 1G013219</t>
  </si>
  <si>
    <t>Total 10154134</t>
  </si>
  <si>
    <t>AZU 780 - AZU 780</t>
  </si>
  <si>
    <t>1V026069</t>
  </si>
  <si>
    <t>Total 1V026069</t>
  </si>
  <si>
    <t>3V015667</t>
  </si>
  <si>
    <t>Total 3V015667</t>
  </si>
  <si>
    <t>3V015668</t>
  </si>
  <si>
    <t>Total 3V015668</t>
  </si>
  <si>
    <t>3V015669</t>
  </si>
  <si>
    <t>Total 3V015669</t>
  </si>
  <si>
    <t>3V015670</t>
  </si>
  <si>
    <t>Total 3V015670</t>
  </si>
  <si>
    <t>3V015671</t>
  </si>
  <si>
    <t>Total 3V015671</t>
  </si>
  <si>
    <t>1G012911</t>
  </si>
  <si>
    <t>5941 - BLUE DEPTH TEJEDA</t>
  </si>
  <si>
    <t>8229 - STRIPE WHITE CAP</t>
  </si>
  <si>
    <t>L697 - BREAKER BLUE</t>
  </si>
  <si>
    <t>L700 - RHODODENDRON</t>
  </si>
  <si>
    <t>Total 1G012911</t>
  </si>
  <si>
    <t>1G013413</t>
  </si>
  <si>
    <t>J666 - TEE COCKTAILS WHITE</t>
  </si>
  <si>
    <t>L576 - CROSSED GOLF BALL</t>
  </si>
  <si>
    <t>L659 - ON THE ROCKS</t>
  </si>
  <si>
    <t>Total 1G013413</t>
  </si>
  <si>
    <t>3G010835</t>
  </si>
  <si>
    <t>Total 3G010835</t>
  </si>
  <si>
    <t>H&amp;B</t>
  </si>
  <si>
    <t>HGR - Heathered Gray</t>
  </si>
  <si>
    <t>Total 101442</t>
  </si>
  <si>
    <t>Total 101447</t>
  </si>
  <si>
    <t>NAR 240 - NAR 240</t>
  </si>
  <si>
    <t>ROS 590 - ROS 590</t>
  </si>
  <si>
    <t>VER 800 - VER 800</t>
  </si>
  <si>
    <t>Total 10155988</t>
  </si>
  <si>
    <t>AZU 770 - AZU 770</t>
  </si>
  <si>
    <t>Total 10156006</t>
  </si>
  <si>
    <t>A48150</t>
  </si>
  <si>
    <t>4602524973</t>
  </si>
  <si>
    <t>TM1WW001</t>
  </si>
  <si>
    <t>4602560367(1301325)</t>
  </si>
  <si>
    <t xml:space="preserve">QUIET SHADE GREY    </t>
  </si>
  <si>
    <t>TM1MU411</t>
  </si>
  <si>
    <t>4602560371(1301311)</t>
  </si>
  <si>
    <t>4602537254(1298373)</t>
  </si>
  <si>
    <t>A47020</t>
  </si>
  <si>
    <t>4602618407</t>
  </si>
  <si>
    <t>A47470N</t>
  </si>
  <si>
    <t>4602524968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</si>
</sst>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9.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0" xfId="0" applyFill="1"/>
    <xf numFmtId="0" fontId="2" fillId="4" borderId="5" xfId="0" applyFont="1" applyFill="1" applyBorder="1" applyAlignment="1">
      <alignment horizontal="center" vertical="center" wrapText="1" shrinkToFit="1"/>
    </xf>
    <xf numFmtId="0" fontId="3" fillId="4" borderId="5" xfId="0" applyFont="1" applyFill="1" applyBorder="1" applyAlignment="1">
      <alignment horizontal="center" vertical="center" wrapText="1" shrinkToFit="1"/>
    </xf>
    <xf numFmtId="3" fontId="2" fillId="4" borderId="5" xfId="0" applyNumberFormat="1" applyFont="1" applyFill="1" applyBorder="1" applyAlignment="1">
      <alignment horizontal="center" vertical="center" wrapText="1" shrinkToFit="1"/>
    </xf>
    <xf numFmtId="1" fontId="2" fillId="4" borderId="5" xfId="0" applyNumberFormat="1" applyFont="1" applyFill="1" applyBorder="1" applyAlignment="1">
      <alignment horizontal="center" vertical="center" wrapText="1" shrinkToFit="1"/>
    </xf>
    <xf numFmtId="0" fontId="0" fillId="3" borderId="6" xfId="0" applyFill="1" applyBorder="1"/>
    <xf numFmtId="0" fontId="4" fillId="3" borderId="7" xfId="0" applyFont="1" applyFill="1" applyBorder="1"/>
    <xf numFmtId="0" fontId="4" fillId="3" borderId="8" xfId="0" applyFont="1" applyFill="1" applyBorder="1" applyAlignment="1">
      <alignment horizontal="left"/>
    </xf>
    <xf numFmtId="0" fontId="4" fillId="3" borderId="8" xfId="0" applyFont="1" applyFill="1" applyBorder="1"/>
    <xf numFmtId="3" fontId="4" fillId="3" borderId="5" xfId="0" applyNumberFormat="1" applyFont="1" applyFill="1" applyBorder="1" applyAlignment="1">
      <alignment horizontal="center"/>
    </xf>
    <xf numFmtId="16" fontId="4" fillId="3" borderId="5" xfId="0" applyNumberFormat="1" applyFont="1" applyFill="1" applyBorder="1"/>
    <xf numFmtId="0" fontId="4" fillId="3" borderId="4" xfId="0" applyFont="1" applyFill="1" applyBorder="1"/>
    <xf numFmtId="49" fontId="4" fillId="0" borderId="5" xfId="0" applyNumberFormat="1" applyFont="1" applyBorder="1"/>
    <xf numFmtId="16" fontId="4" fillId="0" borderId="7" xfId="0" applyNumberFormat="1" applyFont="1" applyBorder="1"/>
    <xf numFmtId="0" fontId="4" fillId="3" borderId="9" xfId="0" applyFont="1" applyFill="1" applyBorder="1"/>
    <xf numFmtId="0" fontId="5" fillId="5" borderId="10" xfId="0" applyFont="1" applyFill="1" applyBorder="1"/>
    <xf numFmtId="0" fontId="6" fillId="5" borderId="11" xfId="0" applyFont="1" applyFill="1" applyBorder="1" applyAlignment="1">
      <alignment horizontal="left"/>
    </xf>
    <xf numFmtId="0" fontId="5" fillId="5" borderId="3" xfId="0" applyFont="1" applyFill="1" applyBorder="1"/>
    <xf numFmtId="3" fontId="5" fillId="5" borderId="5" xfId="0" applyNumberFormat="1" applyFont="1" applyFill="1" applyBorder="1" applyAlignment="1">
      <alignment horizontal="center"/>
    </xf>
    <xf numFmtId="0" fontId="4" fillId="0" borderId="5" xfId="0" applyFont="1" applyBorder="1"/>
    <xf numFmtId="0" fontId="4" fillId="3" borderId="10" xfId="0" applyFont="1" applyFill="1" applyBorder="1"/>
    <xf numFmtId="0" fontId="5" fillId="6" borderId="10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3" fontId="5" fillId="6" borderId="7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4" fillId="3" borderId="6" xfId="0" applyFont="1" applyFill="1" applyBorder="1"/>
    <xf numFmtId="0" fontId="4" fillId="3" borderId="12" xfId="0" applyFont="1" applyFill="1" applyBorder="1" applyAlignment="1">
      <alignment horizontal="left"/>
    </xf>
    <xf numFmtId="0" fontId="0" fillId="3" borderId="7" xfId="0" applyFill="1" applyBorder="1"/>
    <xf numFmtId="3" fontId="0" fillId="3" borderId="0" xfId="0" applyNumberFormat="1" applyFill="1"/>
    <xf numFmtId="0" fontId="0" fillId="3" borderId="0" xfId="0" applyFill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49" fontId="7" fillId="0" borderId="5" xfId="0" applyNumberFormat="1" applyFont="1" applyBorder="1"/>
    <xf numFmtId="0" fontId="4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4" fillId="3" borderId="5" xfId="0" applyFont="1" applyFill="1" applyBorder="1"/>
    <xf numFmtId="0" fontId="4" fillId="3" borderId="3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0" fillId="3" borderId="13" xfId="0" applyFill="1" applyBorder="1"/>
    <xf numFmtId="0" fontId="4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9763-06C2-439F-8809-7217E0F6E9E3}">
  <dimension ref="A2:U70"/>
  <sheetViews>
    <sheetView topLeftCell="A4" zoomScale="70" zoomScaleNormal="70" workbookViewId="0">
      <selection activeCell="M17" sqref="M17"/>
    </sheetView>
  </sheetViews>
  <sheetFormatPr baseColWidth="10" defaultColWidth="11.42578125" defaultRowHeight="15" x14ac:dyDescent="0.25"/>
  <cols>
    <col min="1" max="1" width="1.5703125" style="1" customWidth="1"/>
    <col min="2" max="2" width="9.7109375" style="1" customWidth="1"/>
    <col min="3" max="3" width="11.85546875" style="26" customWidth="1"/>
    <col min="4" max="4" width="11.28515625" style="26" customWidth="1"/>
    <col min="5" max="5" width="21.140625" style="1" customWidth="1"/>
    <col min="6" max="6" width="14" style="30" customWidth="1"/>
    <col min="7" max="7" width="11.42578125" style="31"/>
    <col min="8" max="8" width="2.7109375" style="1" customWidth="1"/>
    <col min="9" max="9" width="10.5703125" style="1" customWidth="1"/>
    <col min="10" max="10" width="12.28515625" style="26" customWidth="1"/>
    <col min="11" max="11" width="13.7109375" style="26" customWidth="1"/>
    <col min="12" max="12" width="17.28515625" style="1" customWidth="1"/>
    <col min="13" max="13" width="14" style="30" customWidth="1"/>
    <col min="14" max="14" width="11.42578125" style="1"/>
    <col min="15" max="15" width="8.7109375" style="1" customWidth="1"/>
    <col min="16" max="16" width="10.140625" style="1" customWidth="1"/>
    <col min="17" max="17" width="11.5703125" style="26" customWidth="1"/>
    <col min="18" max="18" width="12.140625" style="26" customWidth="1"/>
    <col min="19" max="19" width="17.28515625" style="1" customWidth="1"/>
    <col min="20" max="20" width="13" style="1" customWidth="1"/>
    <col min="21" max="16384" width="11.42578125" style="1"/>
  </cols>
  <sheetData>
    <row r="2" spans="1:21" x14ac:dyDescent="0.25">
      <c r="B2" s="44" t="s">
        <v>0</v>
      </c>
      <c r="C2" s="45"/>
      <c r="D2" s="45"/>
      <c r="E2" s="45"/>
      <c r="F2" s="45"/>
      <c r="G2" s="46"/>
      <c r="I2" s="44" t="s">
        <v>0</v>
      </c>
      <c r="J2" s="45"/>
      <c r="K2" s="45"/>
      <c r="L2" s="45"/>
      <c r="M2" s="45"/>
      <c r="N2" s="46"/>
      <c r="P2" s="47" t="s">
        <v>0</v>
      </c>
      <c r="Q2" s="48"/>
      <c r="R2" s="48"/>
      <c r="S2" s="48"/>
      <c r="T2" s="48"/>
      <c r="U2" s="48"/>
    </row>
    <row r="4" spans="1:21" x14ac:dyDescent="0.25">
      <c r="B4" s="2" t="s">
        <v>1</v>
      </c>
      <c r="C4" s="2" t="s">
        <v>2</v>
      </c>
      <c r="D4" s="3" t="s">
        <v>3</v>
      </c>
      <c r="E4" s="2" t="s">
        <v>4</v>
      </c>
      <c r="F4" s="4" t="s">
        <v>5</v>
      </c>
      <c r="G4" s="5" t="s">
        <v>6</v>
      </c>
      <c r="I4" s="2" t="s">
        <v>1</v>
      </c>
      <c r="J4" s="2" t="s">
        <v>2</v>
      </c>
      <c r="K4" s="3" t="s">
        <v>3</v>
      </c>
      <c r="L4" s="2" t="s">
        <v>4</v>
      </c>
      <c r="M4" s="4" t="s">
        <v>5</v>
      </c>
      <c r="N4" s="5" t="s">
        <v>6</v>
      </c>
      <c r="P4" s="2" t="s">
        <v>1</v>
      </c>
      <c r="Q4" s="2" t="s">
        <v>2</v>
      </c>
      <c r="R4" s="3" t="s">
        <v>3</v>
      </c>
      <c r="S4" s="2" t="s">
        <v>4</v>
      </c>
      <c r="T4" s="4" t="s">
        <v>5</v>
      </c>
      <c r="U4" s="5" t="s">
        <v>6</v>
      </c>
    </row>
    <row r="5" spans="1:21" x14ac:dyDescent="0.25">
      <c r="B5" s="6" t="s">
        <v>7</v>
      </c>
      <c r="C5" s="37" t="s">
        <v>56</v>
      </c>
      <c r="D5" s="8">
        <v>5064393</v>
      </c>
      <c r="E5" s="9" t="s">
        <v>13</v>
      </c>
      <c r="F5" s="10">
        <v>150</v>
      </c>
      <c r="G5" s="11" t="s">
        <v>52</v>
      </c>
      <c r="I5" s="12" t="s">
        <v>8</v>
      </c>
      <c r="J5" s="35" t="s">
        <v>72</v>
      </c>
      <c r="K5" s="41" t="s">
        <v>73</v>
      </c>
      <c r="L5" s="13" t="s">
        <v>37</v>
      </c>
      <c r="M5" s="10">
        <v>2079</v>
      </c>
      <c r="N5" s="14"/>
      <c r="P5" s="21" t="s">
        <v>90</v>
      </c>
      <c r="Q5" s="35" t="s">
        <v>91</v>
      </c>
      <c r="R5" s="35">
        <v>44591</v>
      </c>
      <c r="S5" s="13" t="s">
        <v>92</v>
      </c>
      <c r="T5" s="32">
        <v>1188</v>
      </c>
      <c r="U5" s="14"/>
    </row>
    <row r="6" spans="1:21" x14ac:dyDescent="0.25">
      <c r="B6" s="6" t="s">
        <v>9</v>
      </c>
      <c r="C6" s="38" t="s">
        <v>57</v>
      </c>
      <c r="D6" s="17"/>
      <c r="E6" s="18"/>
      <c r="F6" s="19">
        <f>SUM(F5)</f>
        <v>150</v>
      </c>
      <c r="G6" s="20"/>
      <c r="I6" s="12"/>
      <c r="J6" s="35" t="s">
        <v>109</v>
      </c>
      <c r="K6" s="41" t="s">
        <v>110</v>
      </c>
      <c r="L6" s="13" t="s">
        <v>42</v>
      </c>
      <c r="M6" s="10">
        <v>94</v>
      </c>
      <c r="N6" s="14" t="s">
        <v>69</v>
      </c>
      <c r="P6" s="22" t="s">
        <v>11</v>
      </c>
      <c r="Q6" s="23"/>
      <c r="R6" s="24"/>
      <c r="S6" s="24"/>
      <c r="T6" s="25">
        <f>SUM(T5:T5)</f>
        <v>1188</v>
      </c>
      <c r="U6"/>
    </row>
    <row r="7" spans="1:21" x14ac:dyDescent="0.25">
      <c r="B7" s="6"/>
      <c r="C7" s="37" t="s">
        <v>85</v>
      </c>
      <c r="D7" s="8">
        <v>5064981</v>
      </c>
      <c r="E7" s="9" t="s">
        <v>13</v>
      </c>
      <c r="F7" s="10">
        <v>1514</v>
      </c>
      <c r="G7" s="11"/>
      <c r="I7" s="12"/>
      <c r="J7" s="35" t="s">
        <v>109</v>
      </c>
      <c r="K7" s="41" t="s">
        <v>110</v>
      </c>
      <c r="L7" s="13" t="s">
        <v>37</v>
      </c>
      <c r="M7" s="10">
        <v>88</v>
      </c>
      <c r="N7" s="14" t="s">
        <v>69</v>
      </c>
    </row>
    <row r="8" spans="1:21" x14ac:dyDescent="0.25">
      <c r="B8" s="6"/>
      <c r="C8" s="38" t="s">
        <v>86</v>
      </c>
      <c r="D8" s="17"/>
      <c r="E8" s="18"/>
      <c r="F8" s="19">
        <f>SUM(F7)</f>
        <v>1514</v>
      </c>
      <c r="G8" s="20"/>
      <c r="I8" s="12"/>
      <c r="J8" s="35" t="s">
        <v>111</v>
      </c>
      <c r="K8" s="41" t="s">
        <v>112</v>
      </c>
      <c r="L8" s="13" t="s">
        <v>113</v>
      </c>
      <c r="M8" s="10">
        <v>500</v>
      </c>
      <c r="N8" s="14"/>
      <c r="P8" s="2" t="s">
        <v>1</v>
      </c>
      <c r="Q8" s="2" t="s">
        <v>2</v>
      </c>
      <c r="R8" s="3" t="s">
        <v>3</v>
      </c>
      <c r="S8" s="2" t="s">
        <v>4</v>
      </c>
      <c r="T8" s="4" t="s">
        <v>5</v>
      </c>
      <c r="U8" s="5" t="s">
        <v>6</v>
      </c>
    </row>
    <row r="9" spans="1:21" x14ac:dyDescent="0.25">
      <c r="B9" s="6"/>
      <c r="C9" s="27" t="s">
        <v>182</v>
      </c>
      <c r="D9" s="28">
        <v>5063757</v>
      </c>
      <c r="E9" s="9" t="s">
        <v>183</v>
      </c>
      <c r="F9" s="10">
        <v>3452</v>
      </c>
      <c r="G9" s="11"/>
      <c r="I9" s="7"/>
      <c r="J9" s="35" t="s">
        <v>111</v>
      </c>
      <c r="K9" s="41" t="s">
        <v>112</v>
      </c>
      <c r="L9" s="13" t="s">
        <v>114</v>
      </c>
      <c r="M9" s="10">
        <v>797</v>
      </c>
      <c r="N9" s="14"/>
      <c r="P9" s="39" t="s">
        <v>25</v>
      </c>
      <c r="Q9" s="35" t="s">
        <v>74</v>
      </c>
      <c r="R9" s="41">
        <v>4405</v>
      </c>
      <c r="S9" s="13" t="s">
        <v>23</v>
      </c>
      <c r="T9" s="10">
        <v>100</v>
      </c>
      <c r="U9" s="14" t="s">
        <v>89</v>
      </c>
    </row>
    <row r="10" spans="1:21" x14ac:dyDescent="0.25">
      <c r="B10" s="6"/>
      <c r="C10" s="27"/>
      <c r="D10" s="28"/>
      <c r="E10" s="9" t="s">
        <v>184</v>
      </c>
      <c r="F10" s="10">
        <v>1736</v>
      </c>
      <c r="G10" s="11"/>
      <c r="I10" s="22" t="s">
        <v>28</v>
      </c>
      <c r="J10" s="23"/>
      <c r="K10" s="24"/>
      <c r="L10" s="24"/>
      <c r="M10" s="25">
        <f>SUM(M5:M9)</f>
        <v>3558</v>
      </c>
      <c r="N10"/>
      <c r="P10" s="22" t="s">
        <v>26</v>
      </c>
      <c r="Q10" s="23"/>
      <c r="R10" s="24"/>
      <c r="S10" s="24"/>
      <c r="T10" s="25">
        <f>SUM(T9:T9)</f>
        <v>100</v>
      </c>
      <c r="U10"/>
    </row>
    <row r="11" spans="1:21" x14ac:dyDescent="0.25">
      <c r="B11" s="6"/>
      <c r="C11" s="27"/>
      <c r="D11" s="28"/>
      <c r="E11" s="9" t="s">
        <v>185</v>
      </c>
      <c r="F11" s="10">
        <v>1495</v>
      </c>
      <c r="G11" s="11"/>
      <c r="M11" s="1"/>
    </row>
    <row r="12" spans="1:21" x14ac:dyDescent="0.25">
      <c r="A12" s="1" t="s">
        <v>84</v>
      </c>
      <c r="B12" s="6"/>
      <c r="C12" s="7"/>
      <c r="D12" s="8"/>
      <c r="E12" s="9" t="s">
        <v>53</v>
      </c>
      <c r="F12" s="10">
        <v>2054</v>
      </c>
      <c r="G12" s="11"/>
      <c r="P12" s="2" t="s">
        <v>1</v>
      </c>
      <c r="Q12" s="2" t="s">
        <v>2</v>
      </c>
      <c r="R12" s="3" t="s">
        <v>3</v>
      </c>
      <c r="S12" s="2" t="s">
        <v>4</v>
      </c>
      <c r="T12" s="4" t="s">
        <v>5</v>
      </c>
      <c r="U12" s="5" t="s">
        <v>6</v>
      </c>
    </row>
    <row r="13" spans="1:21" x14ac:dyDescent="0.25">
      <c r="B13" s="6"/>
      <c r="C13" s="16" t="s">
        <v>186</v>
      </c>
      <c r="D13" s="17"/>
      <c r="E13" s="18"/>
      <c r="F13" s="19">
        <f>SUM(F9:F12)</f>
        <v>8737</v>
      </c>
      <c r="G13" s="20"/>
      <c r="P13" s="12" t="s">
        <v>93</v>
      </c>
      <c r="Q13" s="35" t="s">
        <v>94</v>
      </c>
      <c r="R13" s="41" t="s">
        <v>95</v>
      </c>
      <c r="S13" s="13" t="s">
        <v>97</v>
      </c>
      <c r="T13" s="10">
        <v>400</v>
      </c>
      <c r="U13" s="14"/>
    </row>
    <row r="14" spans="1:21" x14ac:dyDescent="0.25">
      <c r="B14" s="6"/>
      <c r="C14" s="7" t="s">
        <v>187</v>
      </c>
      <c r="D14" s="8">
        <v>5063761</v>
      </c>
      <c r="E14" s="9" t="s">
        <v>54</v>
      </c>
      <c r="F14" s="10">
        <v>1835</v>
      </c>
      <c r="G14" s="11"/>
      <c r="P14" s="12"/>
      <c r="Q14" s="35" t="s">
        <v>94</v>
      </c>
      <c r="R14" s="41" t="s">
        <v>95</v>
      </c>
      <c r="S14" s="13" t="s">
        <v>98</v>
      </c>
      <c r="T14" s="10">
        <v>3000</v>
      </c>
      <c r="U14" s="14"/>
    </row>
    <row r="15" spans="1:21" x14ac:dyDescent="0.25">
      <c r="B15" s="6"/>
      <c r="C15" s="16" t="s">
        <v>188</v>
      </c>
      <c r="D15" s="17"/>
      <c r="E15" s="18"/>
      <c r="F15" s="19">
        <f>SUM(F14)</f>
        <v>1835</v>
      </c>
      <c r="G15" s="20"/>
      <c r="P15" s="12"/>
      <c r="Q15" s="35" t="s">
        <v>94</v>
      </c>
      <c r="R15" s="41" t="s">
        <v>95</v>
      </c>
      <c r="S15" s="13" t="s">
        <v>99</v>
      </c>
      <c r="T15" s="10">
        <v>560</v>
      </c>
      <c r="U15" s="14" t="s">
        <v>132</v>
      </c>
    </row>
    <row r="16" spans="1:21" x14ac:dyDescent="0.25">
      <c r="B16" s="6"/>
      <c r="C16" s="27" t="s">
        <v>189</v>
      </c>
      <c r="D16" s="28">
        <v>5064567</v>
      </c>
      <c r="E16" s="9" t="s">
        <v>190</v>
      </c>
      <c r="F16" s="10">
        <v>1567</v>
      </c>
      <c r="G16" s="11"/>
      <c r="P16" s="12"/>
      <c r="Q16" s="35" t="s">
        <v>94</v>
      </c>
      <c r="R16" s="41" t="s">
        <v>95</v>
      </c>
      <c r="S16" s="13" t="s">
        <v>100</v>
      </c>
      <c r="T16" s="10">
        <v>400</v>
      </c>
      <c r="U16" s="14"/>
    </row>
    <row r="17" spans="2:21" x14ac:dyDescent="0.25">
      <c r="B17" s="6"/>
      <c r="C17" s="27"/>
      <c r="D17" s="28">
        <v>5064381</v>
      </c>
      <c r="E17" s="9" t="s">
        <v>191</v>
      </c>
      <c r="F17" s="10">
        <v>2609</v>
      </c>
      <c r="G17" s="11"/>
      <c r="P17" s="12"/>
      <c r="Q17" s="35" t="s">
        <v>94</v>
      </c>
      <c r="R17" s="41" t="s">
        <v>95</v>
      </c>
      <c r="S17" s="13" t="s">
        <v>101</v>
      </c>
      <c r="T17" s="10">
        <v>600</v>
      </c>
      <c r="U17" s="14"/>
    </row>
    <row r="18" spans="2:21" x14ac:dyDescent="0.25">
      <c r="B18" s="6"/>
      <c r="C18" s="27"/>
      <c r="D18" s="28"/>
      <c r="E18" s="9" t="s">
        <v>192</v>
      </c>
      <c r="F18" s="10">
        <v>804</v>
      </c>
      <c r="G18" s="11"/>
      <c r="P18" s="12"/>
      <c r="Q18" s="35" t="s">
        <v>94</v>
      </c>
      <c r="R18" s="41" t="s">
        <v>95</v>
      </c>
      <c r="S18" s="13" t="s">
        <v>102</v>
      </c>
      <c r="T18" s="10">
        <v>600</v>
      </c>
      <c r="U18" s="14"/>
    </row>
    <row r="19" spans="2:21" x14ac:dyDescent="0.25">
      <c r="B19" s="6"/>
      <c r="C19" s="27"/>
      <c r="D19" s="28"/>
      <c r="E19" s="9" t="s">
        <v>193</v>
      </c>
      <c r="F19" s="10">
        <v>822</v>
      </c>
      <c r="G19" s="11"/>
      <c r="P19" s="12"/>
      <c r="Q19" s="35" t="s">
        <v>94</v>
      </c>
      <c r="R19" s="41" t="s">
        <v>95</v>
      </c>
      <c r="S19" s="13" t="s">
        <v>98</v>
      </c>
      <c r="T19" s="10">
        <v>1500</v>
      </c>
      <c r="U19" s="14"/>
    </row>
    <row r="20" spans="2:21" ht="14.25" customHeight="1" x14ac:dyDescent="0.25">
      <c r="B20" s="6"/>
      <c r="C20" s="7"/>
      <c r="D20" s="8"/>
      <c r="E20" s="9" t="s">
        <v>194</v>
      </c>
      <c r="F20" s="10">
        <v>1525</v>
      </c>
      <c r="G20" s="11"/>
      <c r="P20" s="12"/>
      <c r="Q20" s="35" t="s">
        <v>94</v>
      </c>
      <c r="R20" s="41" t="s">
        <v>95</v>
      </c>
      <c r="S20" s="13" t="s">
        <v>100</v>
      </c>
      <c r="T20" s="10">
        <v>1500</v>
      </c>
      <c r="U20" s="14"/>
    </row>
    <row r="21" spans="2:21" x14ac:dyDescent="0.25">
      <c r="B21" s="6"/>
      <c r="C21" s="16" t="s">
        <v>195</v>
      </c>
      <c r="D21" s="17"/>
      <c r="E21" s="18"/>
      <c r="F21" s="19">
        <f>SUM(F16:F20)</f>
        <v>7327</v>
      </c>
      <c r="G21" s="20"/>
      <c r="P21" s="12"/>
      <c r="Q21" s="35" t="s">
        <v>94</v>
      </c>
      <c r="R21" s="41" t="s">
        <v>95</v>
      </c>
      <c r="S21" s="13" t="s">
        <v>97</v>
      </c>
      <c r="T21" s="10">
        <v>600</v>
      </c>
      <c r="U21" s="14"/>
    </row>
    <row r="22" spans="2:21" x14ac:dyDescent="0.25">
      <c r="B22" s="6"/>
      <c r="C22" s="37" t="s">
        <v>19</v>
      </c>
      <c r="D22" s="8">
        <v>5066691</v>
      </c>
      <c r="E22" s="9" t="s">
        <v>13</v>
      </c>
      <c r="F22" s="10">
        <v>421</v>
      </c>
      <c r="G22" s="11"/>
      <c r="P22" s="12"/>
      <c r="Q22" s="35" t="s">
        <v>103</v>
      </c>
      <c r="R22" s="41" t="s">
        <v>104</v>
      </c>
      <c r="S22" s="13" t="s">
        <v>106</v>
      </c>
      <c r="T22" s="10">
        <v>600</v>
      </c>
      <c r="U22" s="14"/>
    </row>
    <row r="23" spans="2:21" x14ac:dyDescent="0.25">
      <c r="B23" s="6"/>
      <c r="C23" s="38" t="s">
        <v>20</v>
      </c>
      <c r="D23" s="17"/>
      <c r="E23" s="18"/>
      <c r="F23" s="19">
        <f>SUM(F22)</f>
        <v>421</v>
      </c>
      <c r="G23" s="20"/>
      <c r="P23" s="7"/>
      <c r="Q23" s="35" t="s">
        <v>103</v>
      </c>
      <c r="R23" s="41" t="s">
        <v>104</v>
      </c>
      <c r="S23" s="13" t="s">
        <v>107</v>
      </c>
      <c r="T23" s="10">
        <v>600</v>
      </c>
      <c r="U23" s="14"/>
    </row>
    <row r="24" spans="2:21" ht="14.25" customHeight="1" x14ac:dyDescent="0.25">
      <c r="B24" s="6"/>
      <c r="C24" s="37" t="s">
        <v>65</v>
      </c>
      <c r="D24" s="8">
        <v>5066010</v>
      </c>
      <c r="E24" s="9" t="s">
        <v>18</v>
      </c>
      <c r="F24" s="10">
        <v>728</v>
      </c>
      <c r="G24" s="11"/>
      <c r="P24" s="22" t="s">
        <v>108</v>
      </c>
      <c r="Q24" s="23"/>
      <c r="R24" s="24"/>
      <c r="S24" s="24"/>
      <c r="T24" s="25">
        <f>SUM(T13:T23)</f>
        <v>10360</v>
      </c>
      <c r="U24"/>
    </row>
    <row r="25" spans="2:21" ht="13.5" customHeight="1" x14ac:dyDescent="0.25">
      <c r="B25" s="6"/>
      <c r="C25" s="38" t="s">
        <v>66</v>
      </c>
      <c r="D25" s="17"/>
      <c r="E25" s="18"/>
      <c r="F25" s="19">
        <f>SUM(F24)</f>
        <v>728</v>
      </c>
      <c r="G25" s="20"/>
    </row>
    <row r="26" spans="2:21" ht="14.25" customHeight="1" x14ac:dyDescent="0.25">
      <c r="B26" s="6"/>
      <c r="C26" s="37" t="s">
        <v>87</v>
      </c>
      <c r="D26" s="8">
        <v>5066694</v>
      </c>
      <c r="E26" s="9" t="s">
        <v>13</v>
      </c>
      <c r="F26" s="10">
        <v>1040</v>
      </c>
      <c r="G26" s="11"/>
      <c r="P26" s="2" t="s">
        <v>1</v>
      </c>
      <c r="Q26" s="2" t="s">
        <v>2</v>
      </c>
      <c r="R26" s="3" t="s">
        <v>3</v>
      </c>
      <c r="S26" s="2" t="s">
        <v>4</v>
      </c>
      <c r="T26" s="4" t="s">
        <v>5</v>
      </c>
      <c r="U26" s="5" t="s">
        <v>6</v>
      </c>
    </row>
    <row r="27" spans="2:21" x14ac:dyDescent="0.25">
      <c r="B27" s="29"/>
      <c r="C27" s="38" t="s">
        <v>88</v>
      </c>
      <c r="D27" s="17"/>
      <c r="E27" s="18"/>
      <c r="F27" s="19">
        <f>SUM(F26)</f>
        <v>1040</v>
      </c>
      <c r="G27" s="20"/>
      <c r="P27" s="12" t="s">
        <v>75</v>
      </c>
      <c r="Q27" s="35" t="s">
        <v>77</v>
      </c>
      <c r="R27" s="41" t="s">
        <v>78</v>
      </c>
      <c r="S27" s="13" t="s">
        <v>79</v>
      </c>
      <c r="T27" s="10">
        <v>600</v>
      </c>
      <c r="U27" s="14"/>
    </row>
    <row r="28" spans="2:21" x14ac:dyDescent="0.25">
      <c r="B28" s="22" t="s">
        <v>22</v>
      </c>
      <c r="C28" s="23"/>
      <c r="D28" s="24"/>
      <c r="E28" s="24"/>
      <c r="F28" s="25">
        <f>SUM(F27,F25,F23,F21,F15,F13,F8,F6)</f>
        <v>21752</v>
      </c>
      <c r="G28" s="1"/>
      <c r="P28" s="12"/>
      <c r="Q28" s="35" t="s">
        <v>77</v>
      </c>
      <c r="R28" s="41" t="s">
        <v>78</v>
      </c>
      <c r="S28" s="13" t="s">
        <v>80</v>
      </c>
      <c r="T28" s="10">
        <v>610</v>
      </c>
      <c r="U28" s="14"/>
    </row>
    <row r="29" spans="2:21" ht="15" customHeight="1" x14ac:dyDescent="0.25">
      <c r="P29" s="12"/>
      <c r="Q29" s="35" t="s">
        <v>77</v>
      </c>
      <c r="R29" s="41" t="s">
        <v>78</v>
      </c>
      <c r="S29" s="13" t="s">
        <v>81</v>
      </c>
      <c r="T29" s="10">
        <v>540</v>
      </c>
      <c r="U29" s="14"/>
    </row>
    <row r="30" spans="2:21" ht="15" customHeight="1" x14ac:dyDescent="0.25">
      <c r="B30" s="2" t="s">
        <v>1</v>
      </c>
      <c r="C30" s="2" t="s">
        <v>2</v>
      </c>
      <c r="D30" s="3" t="s">
        <v>3</v>
      </c>
      <c r="E30" s="2" t="s">
        <v>4</v>
      </c>
      <c r="F30" s="4" t="s">
        <v>5</v>
      </c>
      <c r="G30" s="5" t="s">
        <v>6</v>
      </c>
      <c r="P30" s="12"/>
      <c r="Q30" s="35" t="s">
        <v>77</v>
      </c>
      <c r="R30" s="41" t="s">
        <v>78</v>
      </c>
      <c r="S30" s="13" t="s">
        <v>82</v>
      </c>
      <c r="T30" s="10">
        <v>610</v>
      </c>
      <c r="U30" s="14"/>
    </row>
    <row r="31" spans="2:21" x14ac:dyDescent="0.25">
      <c r="B31" s="6" t="s">
        <v>7</v>
      </c>
      <c r="C31" s="27" t="s">
        <v>198</v>
      </c>
      <c r="D31" s="28">
        <v>5065324</v>
      </c>
      <c r="E31" s="9" t="s">
        <v>199</v>
      </c>
      <c r="F31" s="10">
        <v>48</v>
      </c>
      <c r="G31" s="11" t="s">
        <v>219</v>
      </c>
      <c r="P31" s="12"/>
      <c r="Q31" s="35" t="s">
        <v>133</v>
      </c>
      <c r="R31" s="41" t="s">
        <v>134</v>
      </c>
      <c r="S31" s="13" t="s">
        <v>81</v>
      </c>
      <c r="T31" s="10">
        <v>72</v>
      </c>
      <c r="U31" s="14"/>
    </row>
    <row r="32" spans="2:21" ht="14.25" customHeight="1" x14ac:dyDescent="0.25">
      <c r="B32" s="6" t="s">
        <v>9</v>
      </c>
      <c r="C32" s="7"/>
      <c r="D32" s="8"/>
      <c r="E32" s="9" t="s">
        <v>200</v>
      </c>
      <c r="F32" s="10">
        <v>72</v>
      </c>
      <c r="G32" s="11" t="s">
        <v>219</v>
      </c>
      <c r="P32" s="12"/>
      <c r="Q32" s="35" t="s">
        <v>133</v>
      </c>
      <c r="R32" s="41" t="s">
        <v>134</v>
      </c>
      <c r="S32" s="13" t="s">
        <v>135</v>
      </c>
      <c r="T32" s="10">
        <v>72</v>
      </c>
      <c r="U32" s="14"/>
    </row>
    <row r="33" spans="2:21" ht="14.25" customHeight="1" x14ac:dyDescent="0.25">
      <c r="B33" s="6"/>
      <c r="C33" s="16" t="s">
        <v>201</v>
      </c>
      <c r="D33" s="17"/>
      <c r="E33" s="18"/>
      <c r="F33" s="19">
        <f>SUM(F31:F32)</f>
        <v>120</v>
      </c>
      <c r="G33" s="20"/>
      <c r="P33" s="12"/>
      <c r="Q33" s="35" t="s">
        <v>77</v>
      </c>
      <c r="R33" s="41" t="s">
        <v>134</v>
      </c>
      <c r="S33" s="13" t="s">
        <v>81</v>
      </c>
      <c r="T33" s="10">
        <v>60</v>
      </c>
      <c r="U33" s="14"/>
    </row>
    <row r="34" spans="2:21" ht="14.25" customHeight="1" x14ac:dyDescent="0.25">
      <c r="B34" s="6"/>
      <c r="C34" s="27" t="s">
        <v>231</v>
      </c>
      <c r="D34" s="28">
        <v>5063310</v>
      </c>
      <c r="E34" s="9" t="s">
        <v>83</v>
      </c>
      <c r="F34" s="10">
        <v>400</v>
      </c>
      <c r="G34" s="11"/>
      <c r="P34" s="21"/>
      <c r="Q34" s="35" t="s">
        <v>136</v>
      </c>
      <c r="R34" s="41" t="s">
        <v>134</v>
      </c>
      <c r="S34" s="13" t="s">
        <v>137</v>
      </c>
      <c r="T34" s="10">
        <v>60</v>
      </c>
      <c r="U34" s="14"/>
    </row>
    <row r="35" spans="2:21" ht="14.25" customHeight="1" x14ac:dyDescent="0.25">
      <c r="B35" s="6"/>
      <c r="C35" s="27"/>
      <c r="D35" s="28">
        <v>5066526</v>
      </c>
      <c r="E35" s="9" t="s">
        <v>83</v>
      </c>
      <c r="F35" s="10">
        <v>450</v>
      </c>
      <c r="G35" s="11"/>
      <c r="P35" s="22" t="s">
        <v>76</v>
      </c>
      <c r="Q35" s="23"/>
      <c r="R35" s="24"/>
      <c r="S35" s="24"/>
      <c r="T35" s="25">
        <f>SUM(T27:T34)</f>
        <v>2624</v>
      </c>
      <c r="U35"/>
    </row>
    <row r="36" spans="2:21" x14ac:dyDescent="0.25">
      <c r="B36" s="6"/>
      <c r="C36" s="27"/>
      <c r="D36" s="28">
        <v>5066834</v>
      </c>
      <c r="E36" s="9" t="s">
        <v>13</v>
      </c>
      <c r="F36" s="10">
        <v>600</v>
      </c>
      <c r="G36" s="11"/>
    </row>
    <row r="37" spans="2:21" x14ac:dyDescent="0.25">
      <c r="B37" s="6"/>
      <c r="C37" s="27"/>
      <c r="D37" s="28"/>
      <c r="E37" s="9"/>
      <c r="F37" s="10">
        <v>325</v>
      </c>
      <c r="G37" s="11"/>
    </row>
    <row r="38" spans="2:21" x14ac:dyDescent="0.25">
      <c r="B38" s="6"/>
      <c r="C38" s="7"/>
      <c r="D38" s="8">
        <v>5066833</v>
      </c>
      <c r="E38" s="9" t="s">
        <v>13</v>
      </c>
      <c r="F38" s="10">
        <v>547</v>
      </c>
      <c r="G38" s="11"/>
    </row>
    <row r="39" spans="2:21" x14ac:dyDescent="0.25">
      <c r="B39" s="6"/>
      <c r="C39" s="16" t="s">
        <v>232</v>
      </c>
      <c r="D39" s="17"/>
      <c r="E39" s="18"/>
      <c r="F39" s="19">
        <f>SUM(F34:F38)</f>
        <v>2322</v>
      </c>
      <c r="G39" s="20"/>
    </row>
    <row r="40" spans="2:21" x14ac:dyDescent="0.25">
      <c r="B40" s="6"/>
      <c r="C40" s="27" t="s">
        <v>202</v>
      </c>
      <c r="D40" s="28">
        <v>5066527</v>
      </c>
      <c r="E40" s="9" t="s">
        <v>13</v>
      </c>
      <c r="F40" s="10">
        <v>777</v>
      </c>
      <c r="G40" s="11"/>
    </row>
    <row r="41" spans="2:21" x14ac:dyDescent="0.25">
      <c r="B41" s="6"/>
      <c r="C41" s="7"/>
      <c r="D41" s="8"/>
      <c r="E41" s="9" t="s">
        <v>83</v>
      </c>
      <c r="F41" s="10">
        <v>745</v>
      </c>
      <c r="G41" s="11"/>
    </row>
    <row r="42" spans="2:21" x14ac:dyDescent="0.25">
      <c r="B42" s="6"/>
      <c r="C42" s="16" t="s">
        <v>203</v>
      </c>
      <c r="D42" s="17"/>
      <c r="E42" s="18"/>
      <c r="F42" s="19">
        <f>SUM(F40:F41)</f>
        <v>1522</v>
      </c>
      <c r="G42" s="20"/>
    </row>
    <row r="43" spans="2:21" x14ac:dyDescent="0.25">
      <c r="B43" s="6"/>
      <c r="C43" s="7" t="s">
        <v>61</v>
      </c>
      <c r="D43" s="8">
        <v>5064583</v>
      </c>
      <c r="E43" s="9" t="s">
        <v>204</v>
      </c>
      <c r="F43" s="10">
        <v>1410</v>
      </c>
      <c r="G43" s="11"/>
    </row>
    <row r="44" spans="2:21" x14ac:dyDescent="0.25">
      <c r="B44" s="6"/>
      <c r="C44" s="16" t="s">
        <v>62</v>
      </c>
      <c r="D44" s="17"/>
      <c r="E44" s="18"/>
      <c r="F44" s="19">
        <f>SUM(F43)</f>
        <v>1410</v>
      </c>
      <c r="G44" s="20"/>
    </row>
    <row r="45" spans="2:21" x14ac:dyDescent="0.25">
      <c r="B45" s="6"/>
      <c r="C45" s="7" t="s">
        <v>56</v>
      </c>
      <c r="D45" s="8">
        <v>5066530</v>
      </c>
      <c r="E45" s="9" t="s">
        <v>13</v>
      </c>
      <c r="F45" s="10">
        <v>526</v>
      </c>
      <c r="G45" s="11"/>
    </row>
    <row r="46" spans="2:21" x14ac:dyDescent="0.25">
      <c r="B46" s="6"/>
      <c r="C46" s="16" t="s">
        <v>57</v>
      </c>
      <c r="D46" s="17"/>
      <c r="E46" s="18"/>
      <c r="F46" s="19">
        <f>SUM(F45)</f>
        <v>526</v>
      </c>
      <c r="G46" s="20"/>
    </row>
    <row r="47" spans="2:21" x14ac:dyDescent="0.25">
      <c r="B47" s="6"/>
      <c r="C47" s="7" t="s">
        <v>233</v>
      </c>
      <c r="D47" s="8">
        <v>5066661</v>
      </c>
      <c r="E47" s="9" t="s">
        <v>234</v>
      </c>
      <c r="F47" s="10">
        <v>1727</v>
      </c>
      <c r="G47" s="11"/>
    </row>
    <row r="48" spans="2:21" x14ac:dyDescent="0.25">
      <c r="B48" s="6"/>
      <c r="C48" s="16" t="s">
        <v>235</v>
      </c>
      <c r="D48" s="17"/>
      <c r="E48" s="18"/>
      <c r="F48" s="19">
        <f>SUM(F47)</f>
        <v>1727</v>
      </c>
      <c r="G48" s="20"/>
    </row>
    <row r="49" spans="2:7" x14ac:dyDescent="0.25">
      <c r="B49" s="6"/>
      <c r="C49" s="7" t="s">
        <v>236</v>
      </c>
      <c r="D49" s="8">
        <v>5066426</v>
      </c>
      <c r="E49" s="9" t="s">
        <v>13</v>
      </c>
      <c r="F49" s="10">
        <v>200</v>
      </c>
      <c r="G49" s="11"/>
    </row>
    <row r="50" spans="2:7" x14ac:dyDescent="0.25">
      <c r="B50" s="6"/>
      <c r="C50" s="16" t="s">
        <v>237</v>
      </c>
      <c r="D50" s="17"/>
      <c r="E50" s="18"/>
      <c r="F50" s="19">
        <f>SUM(F49)</f>
        <v>200</v>
      </c>
      <c r="G50" s="20"/>
    </row>
    <row r="51" spans="2:7" x14ac:dyDescent="0.25">
      <c r="B51" s="6"/>
      <c r="C51" s="7" t="s">
        <v>238</v>
      </c>
      <c r="D51" s="8">
        <v>5066428</v>
      </c>
      <c r="E51" s="9" t="s">
        <v>13</v>
      </c>
      <c r="F51" s="10">
        <v>570</v>
      </c>
      <c r="G51" s="11"/>
    </row>
    <row r="52" spans="2:7" x14ac:dyDescent="0.25">
      <c r="B52" s="6"/>
      <c r="C52" s="16" t="s">
        <v>239</v>
      </c>
      <c r="D52" s="17"/>
      <c r="E52" s="18"/>
      <c r="F52" s="19">
        <f>SUM(F51)</f>
        <v>570</v>
      </c>
      <c r="G52" s="20"/>
    </row>
    <row r="53" spans="2:7" x14ac:dyDescent="0.25">
      <c r="B53" s="6"/>
      <c r="C53" s="7" t="s">
        <v>240</v>
      </c>
      <c r="D53" s="8">
        <v>5066430</v>
      </c>
      <c r="E53" s="9" t="s">
        <v>13</v>
      </c>
      <c r="F53" s="10">
        <v>1131</v>
      </c>
      <c r="G53" s="11"/>
    </row>
    <row r="54" spans="2:7" x14ac:dyDescent="0.25">
      <c r="B54" s="6"/>
      <c r="C54" s="16" t="s">
        <v>241</v>
      </c>
      <c r="D54" s="17"/>
      <c r="E54" s="18"/>
      <c r="F54" s="19">
        <f>SUM(F53)</f>
        <v>1131</v>
      </c>
      <c r="G54" s="20"/>
    </row>
    <row r="55" spans="2:7" x14ac:dyDescent="0.25">
      <c r="B55" s="6"/>
      <c r="C55" s="7" t="s">
        <v>213</v>
      </c>
      <c r="D55" s="8">
        <v>5065405</v>
      </c>
      <c r="E55" s="9" t="s">
        <v>214</v>
      </c>
      <c r="F55" s="10">
        <v>200</v>
      </c>
      <c r="G55" s="11" t="s">
        <v>219</v>
      </c>
    </row>
    <row r="56" spans="2:7" x14ac:dyDescent="0.25">
      <c r="B56" s="6"/>
      <c r="C56" s="16" t="s">
        <v>215</v>
      </c>
      <c r="D56" s="17"/>
      <c r="E56" s="18"/>
      <c r="F56" s="19">
        <f>SUM(F55)</f>
        <v>200</v>
      </c>
      <c r="G56" s="20"/>
    </row>
    <row r="57" spans="2:7" x14ac:dyDescent="0.25">
      <c r="B57" s="6"/>
      <c r="C57" s="27" t="s">
        <v>242</v>
      </c>
      <c r="D57" s="28">
        <v>5066549</v>
      </c>
      <c r="E57" s="9" t="s">
        <v>83</v>
      </c>
      <c r="F57" s="10">
        <v>4588</v>
      </c>
      <c r="G57" s="11"/>
    </row>
    <row r="58" spans="2:7" x14ac:dyDescent="0.25">
      <c r="B58" s="6"/>
      <c r="C58" s="27"/>
      <c r="D58" s="28">
        <v>5066838</v>
      </c>
      <c r="E58" s="9" t="s">
        <v>13</v>
      </c>
      <c r="F58" s="10">
        <v>625</v>
      </c>
      <c r="G58" s="11"/>
    </row>
    <row r="59" spans="2:7" x14ac:dyDescent="0.25">
      <c r="B59" s="6"/>
      <c r="C59" s="7"/>
      <c r="D59" s="8">
        <v>5066837</v>
      </c>
      <c r="E59" s="9" t="s">
        <v>13</v>
      </c>
      <c r="F59" s="10">
        <v>1950</v>
      </c>
      <c r="G59" s="11"/>
    </row>
    <row r="60" spans="2:7" x14ac:dyDescent="0.25">
      <c r="B60" s="6"/>
      <c r="C60" s="16" t="s">
        <v>243</v>
      </c>
      <c r="D60" s="17"/>
      <c r="E60" s="18"/>
      <c r="F60" s="19">
        <f>SUM(F57:F59)</f>
        <v>7163</v>
      </c>
      <c r="G60" s="20"/>
    </row>
    <row r="61" spans="2:7" x14ac:dyDescent="0.25">
      <c r="B61" s="6"/>
      <c r="C61" s="27" t="s">
        <v>19</v>
      </c>
      <c r="D61" s="28">
        <v>5066555</v>
      </c>
      <c r="E61" s="9" t="s">
        <v>30</v>
      </c>
      <c r="F61" s="10">
        <v>582</v>
      </c>
      <c r="G61" s="11"/>
    </row>
    <row r="62" spans="2:7" x14ac:dyDescent="0.25">
      <c r="B62" s="6"/>
      <c r="C62" s="27"/>
      <c r="D62" s="28">
        <v>5066690</v>
      </c>
      <c r="E62" s="9" t="s">
        <v>13</v>
      </c>
      <c r="F62" s="10">
        <v>2629</v>
      </c>
      <c r="G62" s="11"/>
    </row>
    <row r="63" spans="2:7" x14ac:dyDescent="0.25">
      <c r="B63" s="6"/>
      <c r="C63" s="7"/>
      <c r="D63" s="8"/>
      <c r="E63" s="9" t="s">
        <v>83</v>
      </c>
      <c r="F63" s="10">
        <v>2780</v>
      </c>
      <c r="G63" s="11"/>
    </row>
    <row r="64" spans="2:7" x14ac:dyDescent="0.25">
      <c r="B64" s="6"/>
      <c r="C64" s="16" t="s">
        <v>20</v>
      </c>
      <c r="D64" s="17"/>
      <c r="E64" s="18"/>
      <c r="F64" s="19">
        <f>SUM(F61:F63)</f>
        <v>5991</v>
      </c>
      <c r="G64" s="20"/>
    </row>
    <row r="65" spans="2:7" x14ac:dyDescent="0.25">
      <c r="B65" s="6"/>
      <c r="C65" s="27" t="s">
        <v>87</v>
      </c>
      <c r="D65" s="28" t="s">
        <v>244</v>
      </c>
      <c r="E65" s="9" t="s">
        <v>67</v>
      </c>
      <c r="F65" s="10">
        <v>528</v>
      </c>
      <c r="G65" s="11"/>
    </row>
    <row r="66" spans="2:7" x14ac:dyDescent="0.25">
      <c r="B66" s="6"/>
      <c r="C66" s="7"/>
      <c r="D66" s="8">
        <v>5066693</v>
      </c>
      <c r="E66" s="9" t="s">
        <v>13</v>
      </c>
      <c r="F66" s="10">
        <v>575</v>
      </c>
      <c r="G66" s="11"/>
    </row>
    <row r="67" spans="2:7" x14ac:dyDescent="0.25">
      <c r="B67" s="6"/>
      <c r="C67" s="16" t="s">
        <v>88</v>
      </c>
      <c r="D67" s="17"/>
      <c r="E67" s="18"/>
      <c r="F67" s="19">
        <f>SUM(F65:F66)</f>
        <v>1103</v>
      </c>
      <c r="G67" s="20"/>
    </row>
    <row r="68" spans="2:7" x14ac:dyDescent="0.25">
      <c r="B68" s="6"/>
      <c r="C68" s="7" t="s">
        <v>217</v>
      </c>
      <c r="D68" s="8">
        <v>5066695</v>
      </c>
      <c r="E68" s="9" t="s">
        <v>13</v>
      </c>
      <c r="F68" s="10">
        <v>237</v>
      </c>
      <c r="G68" s="11"/>
    </row>
    <row r="69" spans="2:7" x14ac:dyDescent="0.25">
      <c r="B69" s="29"/>
      <c r="C69" s="16" t="s">
        <v>218</v>
      </c>
      <c r="D69" s="17"/>
      <c r="E69" s="18"/>
      <c r="F69" s="19">
        <f>SUM(F68)</f>
        <v>237</v>
      </c>
      <c r="G69" s="20"/>
    </row>
    <row r="70" spans="2:7" x14ac:dyDescent="0.25">
      <c r="B70" s="22" t="s">
        <v>22</v>
      </c>
      <c r="C70" s="23"/>
      <c r="D70" s="24"/>
      <c r="E70" s="24"/>
      <c r="F70" s="25">
        <f>SUM(F69,F67,F64,F60,F56,F54,F52,F50,F48,F46,F44,F42,F39,F33)</f>
        <v>24222</v>
      </c>
      <c r="G70" s="1"/>
    </row>
  </sheetData>
  <mergeCells count="3">
    <mergeCell ref="B2:G2"/>
    <mergeCell ref="I2:N2"/>
    <mergeCell ref="P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73F1-C4D4-43D9-BD00-9163B59365BD}">
  <dimension ref="B2:U60"/>
  <sheetViews>
    <sheetView tabSelected="1" zoomScale="70" zoomScaleNormal="70" workbookViewId="0">
      <selection activeCell="Z22" sqref="Z22"/>
    </sheetView>
  </sheetViews>
  <sheetFormatPr baseColWidth="10" defaultColWidth="11.42578125" defaultRowHeight="15" x14ac:dyDescent="0.25"/>
  <cols>
    <col min="1" max="1" width="1.5703125" style="1" customWidth="1"/>
    <col min="2" max="2" width="9.7109375" style="1" customWidth="1"/>
    <col min="3" max="3" width="11.85546875" style="26" customWidth="1"/>
    <col min="4" max="4" width="11.28515625" style="26" customWidth="1"/>
    <col min="5" max="5" width="21.140625" style="1" customWidth="1"/>
    <col min="6" max="6" width="14" style="30" customWidth="1"/>
    <col min="7" max="7" width="11.42578125" style="31"/>
    <col min="8" max="8" width="2.7109375" style="1" customWidth="1"/>
    <col min="9" max="9" width="10.5703125" style="1" customWidth="1"/>
    <col min="10" max="10" width="12.28515625" style="26" customWidth="1"/>
    <col min="11" max="11" width="13.7109375" style="26" customWidth="1"/>
    <col min="12" max="12" width="17.28515625" style="1" customWidth="1"/>
    <col min="13" max="13" width="14" style="30" customWidth="1"/>
    <col min="14" max="14" width="11.42578125" style="1"/>
    <col min="15" max="15" width="1.7109375" style="1" customWidth="1"/>
    <col min="16" max="16" width="10.140625" style="1" customWidth="1"/>
    <col min="17" max="17" width="11.5703125" style="26" customWidth="1"/>
    <col min="18" max="18" width="12.140625" style="26" customWidth="1"/>
    <col min="19" max="19" width="38.7109375" style="1" customWidth="1"/>
    <col min="20" max="20" width="13" style="1" customWidth="1"/>
    <col min="21" max="16384" width="11.42578125" style="1"/>
  </cols>
  <sheetData>
    <row r="2" spans="2:21" x14ac:dyDescent="0.25">
      <c r="B2" s="44" t="s">
        <v>0</v>
      </c>
      <c r="C2" s="45"/>
      <c r="D2" s="45"/>
      <c r="E2" s="45"/>
      <c r="F2" s="45"/>
      <c r="G2" s="46"/>
      <c r="I2" s="44" t="s">
        <v>0</v>
      </c>
      <c r="J2" s="45"/>
      <c r="K2" s="45"/>
      <c r="L2" s="45"/>
      <c r="M2" s="45"/>
      <c r="N2" s="46"/>
      <c r="P2" s="47" t="s">
        <v>0</v>
      </c>
      <c r="Q2" s="48"/>
      <c r="R2" s="48"/>
      <c r="S2" s="48"/>
      <c r="T2" s="48"/>
      <c r="U2" s="48"/>
    </row>
    <row r="4" spans="2:21" x14ac:dyDescent="0.25">
      <c r="B4" s="2" t="s">
        <v>1</v>
      </c>
      <c r="C4" s="2" t="s">
        <v>2</v>
      </c>
      <c r="D4" s="3" t="s">
        <v>3</v>
      </c>
      <c r="E4" s="2" t="s">
        <v>4</v>
      </c>
      <c r="F4" s="4" t="s">
        <v>5</v>
      </c>
      <c r="G4" s="5" t="s">
        <v>6</v>
      </c>
      <c r="I4" s="2" t="s">
        <v>1</v>
      </c>
      <c r="J4" s="2" t="s">
        <v>2</v>
      </c>
      <c r="K4" s="3" t="s">
        <v>3</v>
      </c>
      <c r="L4" s="2" t="s">
        <v>4</v>
      </c>
      <c r="M4" s="4" t="s">
        <v>5</v>
      </c>
      <c r="N4" s="5" t="s">
        <v>6</v>
      </c>
      <c r="P4" s="2" t="s">
        <v>1</v>
      </c>
      <c r="Q4" s="2" t="s">
        <v>2</v>
      </c>
      <c r="R4" s="3" t="s">
        <v>3</v>
      </c>
      <c r="S4" s="2" t="s">
        <v>4</v>
      </c>
      <c r="T4" s="4" t="s">
        <v>5</v>
      </c>
      <c r="U4" s="5" t="s">
        <v>6</v>
      </c>
    </row>
    <row r="5" spans="2:21" x14ac:dyDescent="0.25">
      <c r="B5" s="6" t="s">
        <v>7</v>
      </c>
      <c r="C5" s="27" t="s">
        <v>220</v>
      </c>
      <c r="D5" s="28">
        <v>5064466</v>
      </c>
      <c r="E5" s="9" t="s">
        <v>221</v>
      </c>
      <c r="F5" s="10">
        <v>5016</v>
      </c>
      <c r="G5" s="11"/>
      <c r="I5" s="12" t="s">
        <v>8</v>
      </c>
      <c r="J5" s="34" t="s">
        <v>122</v>
      </c>
      <c r="K5" s="34" t="s">
        <v>123</v>
      </c>
      <c r="L5" s="34" t="s">
        <v>124</v>
      </c>
      <c r="M5" s="33">
        <v>600</v>
      </c>
      <c r="N5" s="14"/>
      <c r="P5" s="12" t="s">
        <v>138</v>
      </c>
      <c r="Q5" s="34" t="s">
        <v>140</v>
      </c>
      <c r="R5" s="34">
        <v>21256</v>
      </c>
      <c r="S5" s="34" t="s">
        <v>141</v>
      </c>
      <c r="T5" s="33">
        <v>51</v>
      </c>
      <c r="U5" s="14"/>
    </row>
    <row r="6" spans="2:21" x14ac:dyDescent="0.25">
      <c r="B6" s="6" t="s">
        <v>9</v>
      </c>
      <c r="C6" s="7"/>
      <c r="D6" s="8"/>
      <c r="E6" s="9" t="s">
        <v>222</v>
      </c>
      <c r="F6" s="10">
        <v>5028</v>
      </c>
      <c r="G6" s="11"/>
      <c r="I6" s="12"/>
      <c r="J6" s="34" t="s">
        <v>115</v>
      </c>
      <c r="K6" s="34" t="s">
        <v>117</v>
      </c>
      <c r="L6" s="34" t="s">
        <v>38</v>
      </c>
      <c r="M6" s="33">
        <v>660</v>
      </c>
      <c r="N6" s="14"/>
      <c r="P6" s="12" t="s">
        <v>139</v>
      </c>
      <c r="Q6" s="34" t="s">
        <v>29</v>
      </c>
      <c r="R6" s="34">
        <v>45661</v>
      </c>
      <c r="S6" s="34" t="s">
        <v>142</v>
      </c>
      <c r="T6" s="33">
        <v>222</v>
      </c>
      <c r="U6" s="14"/>
    </row>
    <row r="7" spans="2:21" x14ac:dyDescent="0.25">
      <c r="B7" s="6"/>
      <c r="C7" s="16" t="s">
        <v>223</v>
      </c>
      <c r="D7" s="17"/>
      <c r="E7" s="18"/>
      <c r="F7" s="19">
        <f>SUM(F5:F6)</f>
        <v>10044</v>
      </c>
      <c r="G7" s="20"/>
      <c r="I7" s="12"/>
      <c r="J7" s="34" t="s">
        <v>115</v>
      </c>
      <c r="K7" s="34" t="s">
        <v>116</v>
      </c>
      <c r="L7" s="34" t="s">
        <v>38</v>
      </c>
      <c r="M7" s="33">
        <v>5974</v>
      </c>
      <c r="N7" s="14"/>
      <c r="P7" s="12"/>
      <c r="Q7" s="34" t="s">
        <v>29</v>
      </c>
      <c r="R7" s="34">
        <v>45661</v>
      </c>
      <c r="S7" s="34" t="s">
        <v>39</v>
      </c>
      <c r="T7" s="33">
        <v>246</v>
      </c>
      <c r="U7" s="14"/>
    </row>
    <row r="8" spans="2:21" x14ac:dyDescent="0.25">
      <c r="B8" s="6"/>
      <c r="C8" s="27" t="s">
        <v>224</v>
      </c>
      <c r="D8" s="28">
        <v>5063760</v>
      </c>
      <c r="E8" s="9" t="s">
        <v>54</v>
      </c>
      <c r="F8" s="10">
        <v>1824</v>
      </c>
      <c r="G8" s="11"/>
      <c r="I8" s="21"/>
      <c r="J8" s="34" t="s">
        <v>70</v>
      </c>
      <c r="K8" s="34" t="s">
        <v>71</v>
      </c>
      <c r="L8" s="34" t="s">
        <v>38</v>
      </c>
      <c r="M8" s="33">
        <v>2932</v>
      </c>
      <c r="N8" s="14"/>
      <c r="P8" s="12"/>
      <c r="Q8" s="34" t="s">
        <v>29</v>
      </c>
      <c r="R8" s="34">
        <v>45661</v>
      </c>
      <c r="S8" s="34" t="s">
        <v>141</v>
      </c>
      <c r="T8" s="33">
        <v>453</v>
      </c>
      <c r="U8" s="14"/>
    </row>
    <row r="9" spans="2:21" x14ac:dyDescent="0.25">
      <c r="B9" s="6"/>
      <c r="C9" s="7"/>
      <c r="D9" s="8"/>
      <c r="E9" s="9" t="s">
        <v>55</v>
      </c>
      <c r="F9" s="10">
        <v>1216</v>
      </c>
      <c r="G9" s="11"/>
      <c r="I9" s="22" t="s">
        <v>14</v>
      </c>
      <c r="J9" s="23"/>
      <c r="K9" s="24"/>
      <c r="L9" s="24"/>
      <c r="M9" s="25">
        <f>SUM(M5:M8)</f>
        <v>10166</v>
      </c>
      <c r="N9"/>
      <c r="P9" s="12"/>
      <c r="Q9" s="34" t="s">
        <v>29</v>
      </c>
      <c r="R9" s="34">
        <v>45661</v>
      </c>
      <c r="S9" s="34" t="s">
        <v>143</v>
      </c>
      <c r="T9" s="33">
        <v>144</v>
      </c>
      <c r="U9" s="14"/>
    </row>
    <row r="10" spans="2:21" x14ac:dyDescent="0.25">
      <c r="B10" s="6"/>
      <c r="C10" s="16" t="s">
        <v>225</v>
      </c>
      <c r="D10" s="17"/>
      <c r="E10" s="18"/>
      <c r="F10" s="19">
        <f>SUM(F8:F9)</f>
        <v>3040</v>
      </c>
      <c r="G10" s="20"/>
      <c r="M10" s="1"/>
      <c r="P10" s="12"/>
      <c r="Q10" s="34" t="s">
        <v>144</v>
      </c>
      <c r="R10" s="34">
        <v>45661</v>
      </c>
      <c r="S10" s="34" t="s">
        <v>145</v>
      </c>
      <c r="T10" s="33">
        <v>105</v>
      </c>
      <c r="U10" s="14"/>
    </row>
    <row r="11" spans="2:21" x14ac:dyDescent="0.25">
      <c r="B11" s="6"/>
      <c r="C11" s="7" t="s">
        <v>189</v>
      </c>
      <c r="D11" s="8">
        <v>5065931</v>
      </c>
      <c r="E11" s="9" t="s">
        <v>226</v>
      </c>
      <c r="F11" s="10">
        <v>2375</v>
      </c>
      <c r="G11" s="11"/>
      <c r="I11" s="2" t="s">
        <v>1</v>
      </c>
      <c r="J11" s="2" t="s">
        <v>2</v>
      </c>
      <c r="K11" s="3" t="s">
        <v>3</v>
      </c>
      <c r="L11" s="2" t="s">
        <v>4</v>
      </c>
      <c r="M11" s="4" t="s">
        <v>5</v>
      </c>
      <c r="N11" s="5" t="s">
        <v>6</v>
      </c>
      <c r="P11" s="12"/>
      <c r="Q11" s="34" t="s">
        <v>140</v>
      </c>
      <c r="R11" s="34">
        <v>45661</v>
      </c>
      <c r="S11" s="34" t="s">
        <v>141</v>
      </c>
      <c r="T11" s="33">
        <v>310</v>
      </c>
      <c r="U11" s="14"/>
    </row>
    <row r="12" spans="2:21" x14ac:dyDescent="0.25">
      <c r="B12" s="6"/>
      <c r="C12" s="16" t="s">
        <v>195</v>
      </c>
      <c r="D12" s="17"/>
      <c r="E12" s="18"/>
      <c r="F12" s="19">
        <f>SUM(F11)</f>
        <v>2375</v>
      </c>
      <c r="G12" s="20"/>
      <c r="I12" s="12" t="s">
        <v>40</v>
      </c>
      <c r="J12" s="34" t="s">
        <v>125</v>
      </c>
      <c r="K12" s="34" t="s">
        <v>126</v>
      </c>
      <c r="L12" s="34" t="s">
        <v>37</v>
      </c>
      <c r="M12" s="33">
        <v>1821</v>
      </c>
      <c r="N12" s="14"/>
      <c r="P12" s="12"/>
      <c r="Q12" s="34" t="s">
        <v>140</v>
      </c>
      <c r="R12" s="34">
        <v>45661</v>
      </c>
      <c r="S12" s="34" t="s">
        <v>146</v>
      </c>
      <c r="T12" s="33">
        <v>679</v>
      </c>
      <c r="U12" s="14"/>
    </row>
    <row r="13" spans="2:21" x14ac:dyDescent="0.25">
      <c r="B13" s="6"/>
      <c r="C13" s="27" t="s">
        <v>227</v>
      </c>
      <c r="D13" s="28">
        <v>5064478</v>
      </c>
      <c r="E13" s="9" t="s">
        <v>13</v>
      </c>
      <c r="F13" s="10">
        <v>1333</v>
      </c>
      <c r="G13" s="11"/>
      <c r="I13" s="12" t="s">
        <v>41</v>
      </c>
      <c r="J13" s="34" t="s">
        <v>125</v>
      </c>
      <c r="K13" s="34" t="s">
        <v>126</v>
      </c>
      <c r="L13" s="34" t="s">
        <v>127</v>
      </c>
      <c r="M13" s="33">
        <v>809</v>
      </c>
      <c r="N13" s="14"/>
      <c r="P13" s="12"/>
      <c r="Q13" s="34" t="s">
        <v>144</v>
      </c>
      <c r="R13" s="34">
        <v>45703</v>
      </c>
      <c r="S13" s="34" t="s">
        <v>145</v>
      </c>
      <c r="T13" s="33">
        <v>165</v>
      </c>
      <c r="U13" s="14"/>
    </row>
    <row r="14" spans="2:21" x14ac:dyDescent="0.25">
      <c r="B14" s="6"/>
      <c r="C14" s="7"/>
      <c r="D14" s="8"/>
      <c r="E14" s="9" t="s">
        <v>83</v>
      </c>
      <c r="F14" s="10">
        <v>4172</v>
      </c>
      <c r="G14" s="11"/>
      <c r="I14" s="12"/>
      <c r="J14" s="34" t="s">
        <v>128</v>
      </c>
      <c r="K14" s="34" t="s">
        <v>129</v>
      </c>
      <c r="L14" s="34" t="s">
        <v>10</v>
      </c>
      <c r="M14" s="33">
        <v>1009</v>
      </c>
      <c r="N14" s="14"/>
      <c r="P14" s="12"/>
      <c r="Q14" s="34" t="s">
        <v>147</v>
      </c>
      <c r="R14" s="34">
        <v>45703</v>
      </c>
      <c r="S14" s="34" t="s">
        <v>142</v>
      </c>
      <c r="T14" s="33">
        <v>80</v>
      </c>
      <c r="U14" s="14"/>
    </row>
    <row r="15" spans="2:21" x14ac:dyDescent="0.25">
      <c r="B15" s="6"/>
      <c r="C15" s="16" t="s">
        <v>228</v>
      </c>
      <c r="D15" s="17"/>
      <c r="E15" s="18"/>
      <c r="F15" s="19">
        <f>SUM(F13:F14)</f>
        <v>5505</v>
      </c>
      <c r="G15" s="20"/>
      <c r="I15" s="12"/>
      <c r="J15" s="34" t="s">
        <v>130</v>
      </c>
      <c r="K15" s="34" t="s">
        <v>131</v>
      </c>
      <c r="L15" s="34" t="s">
        <v>37</v>
      </c>
      <c r="M15" s="33">
        <v>757</v>
      </c>
      <c r="N15" s="14"/>
      <c r="P15" s="12"/>
      <c r="Q15" s="34" t="s">
        <v>140</v>
      </c>
      <c r="R15" s="34">
        <v>45703</v>
      </c>
      <c r="S15" s="34" t="s">
        <v>142</v>
      </c>
      <c r="T15" s="33">
        <v>1442</v>
      </c>
      <c r="U15" s="14"/>
    </row>
    <row r="16" spans="2:21" x14ac:dyDescent="0.25">
      <c r="B16" s="6"/>
      <c r="C16" s="7" t="s">
        <v>229</v>
      </c>
      <c r="D16" s="8">
        <v>5064467</v>
      </c>
      <c r="E16" s="9" t="s">
        <v>221</v>
      </c>
      <c r="F16" s="10">
        <v>2953</v>
      </c>
      <c r="G16" s="11"/>
      <c r="I16" s="21"/>
      <c r="J16" s="34" t="s">
        <v>130</v>
      </c>
      <c r="K16" s="34" t="s">
        <v>131</v>
      </c>
      <c r="L16" s="34" t="s">
        <v>37</v>
      </c>
      <c r="M16" s="33">
        <v>757</v>
      </c>
      <c r="N16" s="14"/>
      <c r="P16" s="12"/>
      <c r="Q16" s="34" t="s">
        <v>140</v>
      </c>
      <c r="R16" s="34">
        <v>45703</v>
      </c>
      <c r="S16" s="34" t="s">
        <v>148</v>
      </c>
      <c r="T16" s="33">
        <v>1168</v>
      </c>
      <c r="U16" s="14"/>
    </row>
    <row r="17" spans="2:21" x14ac:dyDescent="0.25">
      <c r="B17" s="29"/>
      <c r="C17" s="16" t="s">
        <v>230</v>
      </c>
      <c r="D17" s="17"/>
      <c r="E17" s="18"/>
      <c r="F17" s="19">
        <f>SUM(F16)</f>
        <v>2953</v>
      </c>
      <c r="G17" s="20"/>
      <c r="I17" s="22" t="s">
        <v>121</v>
      </c>
      <c r="J17" s="23"/>
      <c r="K17" s="24"/>
      <c r="L17" s="24"/>
      <c r="M17" s="25">
        <f>SUM(M12:M16)</f>
        <v>5153</v>
      </c>
      <c r="N17"/>
      <c r="P17" s="7"/>
      <c r="Q17" s="34" t="s">
        <v>140</v>
      </c>
      <c r="R17" s="34">
        <v>45703</v>
      </c>
      <c r="S17" s="34" t="s">
        <v>146</v>
      </c>
      <c r="T17" s="33">
        <v>1059</v>
      </c>
      <c r="U17" s="14"/>
    </row>
    <row r="18" spans="2:21" x14ac:dyDescent="0.25">
      <c r="B18" s="22" t="s">
        <v>22</v>
      </c>
      <c r="C18" s="23"/>
      <c r="D18" s="24"/>
      <c r="E18" s="24"/>
      <c r="F18" s="25">
        <f>SUM(F17,F15,F12,F10,F7)</f>
        <v>23917</v>
      </c>
      <c r="G18" s="1"/>
      <c r="M18" s="1"/>
      <c r="P18" s="22" t="s">
        <v>11</v>
      </c>
      <c r="Q18" s="23"/>
      <c r="R18" s="24"/>
      <c r="S18" s="24"/>
      <c r="T18" s="25">
        <f>SUM(T5:T17)</f>
        <v>6124</v>
      </c>
      <c r="U18"/>
    </row>
    <row r="20" spans="2:21" ht="14.25" customHeight="1" x14ac:dyDescent="0.25">
      <c r="B20" s="2" t="s">
        <v>1</v>
      </c>
      <c r="C20" s="2" t="s">
        <v>2</v>
      </c>
      <c r="D20" s="3" t="s">
        <v>3</v>
      </c>
      <c r="E20" s="2" t="s">
        <v>4</v>
      </c>
      <c r="F20" s="4" t="s">
        <v>5</v>
      </c>
      <c r="G20" s="5" t="s">
        <v>6</v>
      </c>
      <c r="P20" s="2" t="s">
        <v>1</v>
      </c>
      <c r="Q20" s="2" t="s">
        <v>2</v>
      </c>
      <c r="R20" s="3" t="s">
        <v>3</v>
      </c>
      <c r="S20" s="2" t="s">
        <v>4</v>
      </c>
      <c r="T20" s="4" t="s">
        <v>5</v>
      </c>
      <c r="U20" s="5" t="s">
        <v>6</v>
      </c>
    </row>
    <row r="21" spans="2:21" x14ac:dyDescent="0.25">
      <c r="B21" s="6" t="s">
        <v>7</v>
      </c>
      <c r="C21" s="27" t="s">
        <v>245</v>
      </c>
      <c r="D21" s="28">
        <v>5065147</v>
      </c>
      <c r="E21" s="9" t="s">
        <v>246</v>
      </c>
      <c r="F21" s="10">
        <v>1582</v>
      </c>
      <c r="G21" s="11"/>
      <c r="P21" s="12" t="s">
        <v>16</v>
      </c>
      <c r="Q21" s="34">
        <v>40895</v>
      </c>
      <c r="R21" s="34">
        <v>1671642</v>
      </c>
      <c r="S21" s="34" t="s">
        <v>17</v>
      </c>
      <c r="T21" s="33">
        <v>276</v>
      </c>
      <c r="U21" s="14"/>
    </row>
    <row r="22" spans="2:21" x14ac:dyDescent="0.25">
      <c r="B22" s="6" t="s">
        <v>9</v>
      </c>
      <c r="C22" s="27"/>
      <c r="D22" s="28"/>
      <c r="E22" s="9" t="s">
        <v>247</v>
      </c>
      <c r="F22" s="10">
        <v>875</v>
      </c>
      <c r="G22" s="11"/>
      <c r="P22" s="12"/>
      <c r="Q22" s="34">
        <v>40895</v>
      </c>
      <c r="R22" s="34">
        <v>1671642</v>
      </c>
      <c r="S22" s="34" t="s">
        <v>17</v>
      </c>
      <c r="T22" s="33">
        <v>1500</v>
      </c>
      <c r="U22" s="14"/>
    </row>
    <row r="23" spans="2:21" x14ac:dyDescent="0.25">
      <c r="B23" s="6"/>
      <c r="C23" s="27"/>
      <c r="D23" s="28"/>
      <c r="E23" s="9" t="s">
        <v>248</v>
      </c>
      <c r="F23" s="10">
        <v>200</v>
      </c>
      <c r="G23" s="11"/>
      <c r="P23" s="12"/>
      <c r="Q23" s="34">
        <v>40885</v>
      </c>
      <c r="R23" s="34" t="s">
        <v>149</v>
      </c>
      <c r="S23" s="34" t="s">
        <v>150</v>
      </c>
      <c r="T23" s="33">
        <v>99</v>
      </c>
      <c r="U23" s="14" t="s">
        <v>49</v>
      </c>
    </row>
    <row r="24" spans="2:21" ht="14.25" customHeight="1" x14ac:dyDescent="0.25">
      <c r="B24" s="6"/>
      <c r="C24" s="27"/>
      <c r="D24" s="28"/>
      <c r="E24" s="9" t="s">
        <v>199</v>
      </c>
      <c r="F24" s="10">
        <v>519</v>
      </c>
      <c r="G24" s="11"/>
      <c r="P24" s="12"/>
      <c r="Q24" s="34">
        <v>40883</v>
      </c>
      <c r="R24" s="34" t="s">
        <v>149</v>
      </c>
      <c r="S24" s="34" t="s">
        <v>151</v>
      </c>
      <c r="T24" s="33">
        <v>130</v>
      </c>
      <c r="U24" s="14" t="s">
        <v>49</v>
      </c>
    </row>
    <row r="25" spans="2:21" ht="13.5" customHeight="1" x14ac:dyDescent="0.25">
      <c r="B25" s="6"/>
      <c r="C25" s="27"/>
      <c r="D25" s="28"/>
      <c r="E25" s="9" t="s">
        <v>53</v>
      </c>
      <c r="F25" s="10">
        <v>1060</v>
      </c>
      <c r="G25" s="11"/>
      <c r="P25" s="12"/>
      <c r="Q25" s="34">
        <v>41757</v>
      </c>
      <c r="R25" s="34">
        <v>1679607</v>
      </c>
      <c r="S25" s="34" t="s">
        <v>59</v>
      </c>
      <c r="T25" s="33">
        <v>600</v>
      </c>
      <c r="U25" s="14"/>
    </row>
    <row r="26" spans="2:21" ht="14.25" customHeight="1" x14ac:dyDescent="0.25">
      <c r="B26" s="6"/>
      <c r="C26" s="27"/>
      <c r="D26" s="28"/>
      <c r="E26" s="9" t="s">
        <v>200</v>
      </c>
      <c r="F26" s="10">
        <v>1698</v>
      </c>
      <c r="G26" s="11"/>
      <c r="P26" s="12"/>
      <c r="Q26" s="34">
        <v>41758</v>
      </c>
      <c r="R26" s="34">
        <v>1679607</v>
      </c>
      <c r="S26" s="34" t="s">
        <v>17</v>
      </c>
      <c r="T26" s="33">
        <v>600</v>
      </c>
      <c r="U26" s="14"/>
    </row>
    <row r="27" spans="2:21" x14ac:dyDescent="0.25">
      <c r="B27" s="6"/>
      <c r="C27" s="27"/>
      <c r="D27" s="28"/>
      <c r="E27" s="9" t="s">
        <v>249</v>
      </c>
      <c r="F27" s="10">
        <v>2081</v>
      </c>
      <c r="G27" s="11"/>
      <c r="P27" s="12"/>
      <c r="Q27" s="34">
        <v>41759</v>
      </c>
      <c r="R27" s="34">
        <v>1679607</v>
      </c>
      <c r="S27" s="34" t="s">
        <v>60</v>
      </c>
      <c r="T27" s="33">
        <v>600</v>
      </c>
      <c r="U27" s="14"/>
    </row>
    <row r="28" spans="2:21" x14ac:dyDescent="0.25">
      <c r="B28" s="6"/>
      <c r="C28" s="7"/>
      <c r="D28" s="8" t="s">
        <v>250</v>
      </c>
      <c r="E28" s="9" t="s">
        <v>251</v>
      </c>
      <c r="F28" s="10">
        <v>2761</v>
      </c>
      <c r="G28" s="11"/>
      <c r="P28" s="12"/>
      <c r="Q28" s="34">
        <v>40886</v>
      </c>
      <c r="R28" s="34">
        <v>1684302</v>
      </c>
      <c r="S28" s="34" t="s">
        <v>152</v>
      </c>
      <c r="T28" s="33">
        <v>800</v>
      </c>
      <c r="U28" s="14"/>
    </row>
    <row r="29" spans="2:21" ht="15" customHeight="1" x14ac:dyDescent="0.25">
      <c r="B29" s="6"/>
      <c r="C29" s="16" t="s">
        <v>252</v>
      </c>
      <c r="D29" s="17"/>
      <c r="E29" s="18"/>
      <c r="F29" s="19">
        <f>SUM(F21:F28)</f>
        <v>10776</v>
      </c>
      <c r="G29" s="20"/>
      <c r="P29" s="12"/>
      <c r="Q29" s="34">
        <v>40877</v>
      </c>
      <c r="R29" s="34">
        <v>1684302</v>
      </c>
      <c r="S29" s="34" t="s">
        <v>153</v>
      </c>
      <c r="T29" s="33">
        <v>1200</v>
      </c>
      <c r="U29" s="14"/>
    </row>
    <row r="30" spans="2:21" ht="15" customHeight="1" x14ac:dyDescent="0.25">
      <c r="B30" s="6"/>
      <c r="C30" s="27" t="s">
        <v>63</v>
      </c>
      <c r="D30" s="28">
        <v>5064718</v>
      </c>
      <c r="E30" s="9" t="s">
        <v>253</v>
      </c>
      <c r="F30" s="10">
        <v>1779</v>
      </c>
      <c r="G30" s="11"/>
      <c r="P30" s="12"/>
      <c r="Q30" s="34">
        <v>40878</v>
      </c>
      <c r="R30" s="34">
        <v>1684302</v>
      </c>
      <c r="S30" s="34" t="s">
        <v>154</v>
      </c>
      <c r="T30" s="33">
        <v>800</v>
      </c>
      <c r="U30" s="14"/>
    </row>
    <row r="31" spans="2:21" x14ac:dyDescent="0.25">
      <c r="B31" s="6"/>
      <c r="C31" s="27"/>
      <c r="D31" s="28"/>
      <c r="E31" s="9" t="s">
        <v>254</v>
      </c>
      <c r="F31" s="10">
        <v>1261</v>
      </c>
      <c r="G31" s="11"/>
      <c r="P31" s="12"/>
      <c r="Q31" s="34">
        <v>40874</v>
      </c>
      <c r="R31" s="34">
        <v>1684302</v>
      </c>
      <c r="S31" s="34" t="s">
        <v>155</v>
      </c>
      <c r="T31" s="33">
        <v>800</v>
      </c>
      <c r="U31" s="14"/>
    </row>
    <row r="32" spans="2:21" ht="14.25" customHeight="1" x14ac:dyDescent="0.25">
      <c r="B32" s="6"/>
      <c r="C32" s="27"/>
      <c r="D32" s="28"/>
      <c r="E32" s="9" t="s">
        <v>255</v>
      </c>
      <c r="F32" s="10">
        <v>1828</v>
      </c>
      <c r="G32" s="11"/>
      <c r="P32" s="12"/>
      <c r="Q32" s="34">
        <v>40884</v>
      </c>
      <c r="R32" s="34">
        <v>1684302</v>
      </c>
      <c r="S32" s="34" t="s">
        <v>156</v>
      </c>
      <c r="T32" s="33">
        <v>800</v>
      </c>
      <c r="U32" s="14"/>
    </row>
    <row r="33" spans="2:21" ht="14.25" customHeight="1" x14ac:dyDescent="0.25">
      <c r="B33" s="6"/>
      <c r="C33" s="27"/>
      <c r="D33" s="28"/>
      <c r="E33" s="9" t="s">
        <v>256</v>
      </c>
      <c r="F33" s="10">
        <v>3049</v>
      </c>
      <c r="G33" s="11"/>
      <c r="P33" s="12"/>
      <c r="Q33" s="34">
        <v>33296</v>
      </c>
      <c r="R33" s="34">
        <v>1684302</v>
      </c>
      <c r="S33" s="34" t="s">
        <v>15</v>
      </c>
      <c r="T33" s="33">
        <v>1000</v>
      </c>
      <c r="U33" s="14"/>
    </row>
    <row r="34" spans="2:21" ht="14.25" customHeight="1" x14ac:dyDescent="0.25">
      <c r="B34" s="6"/>
      <c r="C34" s="7"/>
      <c r="D34" s="8">
        <v>5064843</v>
      </c>
      <c r="E34" s="9" t="s">
        <v>257</v>
      </c>
      <c r="F34" s="10">
        <v>950</v>
      </c>
      <c r="G34" s="11"/>
      <c r="P34" s="12"/>
      <c r="Q34" s="34">
        <v>33299</v>
      </c>
      <c r="R34" s="34">
        <v>1684302</v>
      </c>
      <c r="S34" s="34" t="s">
        <v>21</v>
      </c>
      <c r="T34" s="33">
        <v>1000</v>
      </c>
      <c r="U34" s="14"/>
    </row>
    <row r="35" spans="2:21" ht="14.25" customHeight="1" x14ac:dyDescent="0.25">
      <c r="B35" s="6"/>
      <c r="C35" s="16" t="s">
        <v>64</v>
      </c>
      <c r="D35" s="17"/>
      <c r="E35" s="18"/>
      <c r="F35" s="19">
        <f>SUM(F30:F34)</f>
        <v>8867</v>
      </c>
      <c r="G35" s="20"/>
      <c r="P35" s="12"/>
      <c r="Q35" s="34">
        <v>33301</v>
      </c>
      <c r="R35" s="34">
        <v>1684302</v>
      </c>
      <c r="S35" s="34" t="s">
        <v>21</v>
      </c>
      <c r="T35" s="33">
        <v>800</v>
      </c>
      <c r="U35" s="14"/>
    </row>
    <row r="36" spans="2:21" x14ac:dyDescent="0.25">
      <c r="B36" s="6"/>
      <c r="C36" s="27" t="s">
        <v>258</v>
      </c>
      <c r="D36" s="28">
        <v>5065193</v>
      </c>
      <c r="E36" s="9" t="s">
        <v>13</v>
      </c>
      <c r="F36" s="10">
        <v>233</v>
      </c>
      <c r="G36" s="11"/>
      <c r="P36" s="12"/>
      <c r="Q36" s="34">
        <v>35446</v>
      </c>
      <c r="R36" s="34">
        <v>1684302</v>
      </c>
      <c r="S36" s="34" t="s">
        <v>159</v>
      </c>
      <c r="T36" s="33">
        <v>1000</v>
      </c>
      <c r="U36" s="14"/>
    </row>
    <row r="37" spans="2:21" x14ac:dyDescent="0.25">
      <c r="B37" s="6"/>
      <c r="C37" s="27"/>
      <c r="D37" s="28"/>
      <c r="E37" s="9" t="s">
        <v>259</v>
      </c>
      <c r="F37" s="10">
        <v>415</v>
      </c>
      <c r="G37" s="11"/>
      <c r="P37" s="12"/>
      <c r="Q37" s="34">
        <v>38834</v>
      </c>
      <c r="R37" s="34">
        <v>1684302</v>
      </c>
      <c r="S37" s="34" t="s">
        <v>160</v>
      </c>
      <c r="T37" s="33">
        <v>800</v>
      </c>
      <c r="U37" s="14"/>
    </row>
    <row r="38" spans="2:21" x14ac:dyDescent="0.25">
      <c r="B38" s="6"/>
      <c r="C38" s="27"/>
      <c r="D38" s="28"/>
      <c r="E38" s="9" t="s">
        <v>260</v>
      </c>
      <c r="F38" s="10">
        <v>200</v>
      </c>
      <c r="G38" s="11"/>
      <c r="P38" s="12"/>
      <c r="Q38" s="34">
        <v>39227</v>
      </c>
      <c r="R38" s="34">
        <v>1684302</v>
      </c>
      <c r="S38" s="34" t="s">
        <v>161</v>
      </c>
      <c r="T38" s="33">
        <v>800</v>
      </c>
      <c r="U38" s="14"/>
    </row>
    <row r="39" spans="2:21" x14ac:dyDescent="0.25">
      <c r="B39" s="6"/>
      <c r="C39" s="27"/>
      <c r="D39" s="28"/>
      <c r="E39" s="9" t="s">
        <v>54</v>
      </c>
      <c r="F39" s="10">
        <v>220</v>
      </c>
      <c r="G39" s="11"/>
      <c r="P39" s="12"/>
      <c r="Q39" s="34">
        <v>39229</v>
      </c>
      <c r="R39" s="34">
        <v>1684302</v>
      </c>
      <c r="S39" s="34" t="s">
        <v>21</v>
      </c>
      <c r="T39" s="33">
        <v>800</v>
      </c>
      <c r="U39" s="14"/>
    </row>
    <row r="40" spans="2:21" x14ac:dyDescent="0.25">
      <c r="B40" s="6"/>
      <c r="C40" s="27"/>
      <c r="D40" s="28"/>
      <c r="E40" s="9" t="s">
        <v>55</v>
      </c>
      <c r="F40" s="10">
        <v>578</v>
      </c>
      <c r="G40" s="11"/>
      <c r="P40" s="12"/>
      <c r="Q40" s="34">
        <v>40896</v>
      </c>
      <c r="R40" s="34">
        <v>1684302</v>
      </c>
      <c r="S40" s="34" t="s">
        <v>162</v>
      </c>
      <c r="T40" s="33">
        <v>1500</v>
      </c>
      <c r="U40" s="14"/>
    </row>
    <row r="41" spans="2:21" x14ac:dyDescent="0.25">
      <c r="B41" s="6"/>
      <c r="C41" s="7"/>
      <c r="D41" s="8"/>
      <c r="E41" s="9" t="s">
        <v>58</v>
      </c>
      <c r="F41" s="10">
        <v>929</v>
      </c>
      <c r="G41" s="11"/>
      <c r="P41" s="12"/>
      <c r="Q41" s="34">
        <v>40897</v>
      </c>
      <c r="R41" s="34">
        <v>1684302</v>
      </c>
      <c r="S41" s="34" t="s">
        <v>15</v>
      </c>
      <c r="T41" s="33">
        <v>800</v>
      </c>
      <c r="U41" s="14"/>
    </row>
    <row r="42" spans="2:21" x14ac:dyDescent="0.25">
      <c r="B42" s="29"/>
      <c r="C42" s="16" t="s">
        <v>261</v>
      </c>
      <c r="D42" s="17"/>
      <c r="E42" s="18"/>
      <c r="F42" s="19">
        <f>SUM(F36:F41)</f>
        <v>2575</v>
      </c>
      <c r="G42" s="20"/>
      <c r="P42" s="12"/>
      <c r="Q42" s="34">
        <v>30488</v>
      </c>
      <c r="R42" s="34">
        <v>1684350</v>
      </c>
      <c r="S42" s="34" t="s">
        <v>17</v>
      </c>
      <c r="T42" s="33">
        <v>300</v>
      </c>
      <c r="U42" s="14"/>
    </row>
    <row r="43" spans="2:21" x14ac:dyDescent="0.25">
      <c r="B43" s="22" t="s">
        <v>22</v>
      </c>
      <c r="C43" s="23"/>
      <c r="D43" s="24"/>
      <c r="E43" s="24"/>
      <c r="F43" s="25">
        <f>SUM(F42,F35,F29)</f>
        <v>22218</v>
      </c>
      <c r="G43" s="1"/>
      <c r="P43" s="12"/>
      <c r="Q43" s="34">
        <v>30489</v>
      </c>
      <c r="R43" s="34">
        <v>1684350</v>
      </c>
      <c r="S43" s="34" t="s">
        <v>157</v>
      </c>
      <c r="T43" s="33">
        <v>501</v>
      </c>
      <c r="U43" s="14"/>
    </row>
    <row r="44" spans="2:21" x14ac:dyDescent="0.25">
      <c r="P44" s="7"/>
      <c r="Q44" s="34">
        <v>40879</v>
      </c>
      <c r="R44" s="34">
        <v>1684302</v>
      </c>
      <c r="S44" s="34" t="s">
        <v>163</v>
      </c>
      <c r="T44" s="33">
        <v>800</v>
      </c>
      <c r="U44" s="14"/>
    </row>
    <row r="45" spans="2:21" x14ac:dyDescent="0.25">
      <c r="B45" s="2" t="s">
        <v>1</v>
      </c>
      <c r="C45" s="2" t="s">
        <v>2</v>
      </c>
      <c r="D45" s="3" t="s">
        <v>3</v>
      </c>
      <c r="E45" s="2" t="s">
        <v>4</v>
      </c>
      <c r="F45" s="4" t="s">
        <v>5</v>
      </c>
      <c r="G45" s="5" t="s">
        <v>6</v>
      </c>
      <c r="P45" s="22" t="s">
        <v>27</v>
      </c>
      <c r="Q45" s="23"/>
      <c r="R45" s="24"/>
      <c r="S45" s="24"/>
      <c r="T45" s="25">
        <f>SUM(T21:T44)</f>
        <v>18306</v>
      </c>
      <c r="U45"/>
    </row>
    <row r="46" spans="2:21" x14ac:dyDescent="0.25">
      <c r="B46" s="6" t="s">
        <v>34</v>
      </c>
      <c r="C46" s="7">
        <v>10154134</v>
      </c>
      <c r="D46" s="8">
        <v>4900010216</v>
      </c>
      <c r="E46" s="9" t="s">
        <v>263</v>
      </c>
      <c r="F46" s="10">
        <v>2000</v>
      </c>
      <c r="G46" s="11"/>
    </row>
    <row r="47" spans="2:21" x14ac:dyDescent="0.25">
      <c r="B47" s="29" t="s">
        <v>35</v>
      </c>
      <c r="C47" s="16" t="s">
        <v>262</v>
      </c>
      <c r="D47" s="17"/>
      <c r="E47" s="18"/>
      <c r="F47" s="19">
        <f>SUM(F46)</f>
        <v>2000</v>
      </c>
      <c r="G47" s="20"/>
      <c r="P47" s="2" t="s">
        <v>1</v>
      </c>
      <c r="Q47" s="2" t="s">
        <v>2</v>
      </c>
      <c r="R47" s="3" t="s">
        <v>3</v>
      </c>
      <c r="S47" s="2" t="s">
        <v>4</v>
      </c>
      <c r="T47" s="4" t="s">
        <v>5</v>
      </c>
      <c r="U47" s="5" t="s">
        <v>6</v>
      </c>
    </row>
    <row r="48" spans="2:21" x14ac:dyDescent="0.25">
      <c r="B48" s="22" t="s">
        <v>36</v>
      </c>
      <c r="C48" s="23"/>
      <c r="D48" s="24"/>
      <c r="E48" s="24"/>
      <c r="F48" s="25">
        <f>SUM(F47)</f>
        <v>2000</v>
      </c>
      <c r="G48" s="1"/>
      <c r="P48" s="12" t="s">
        <v>93</v>
      </c>
      <c r="Q48" s="34" t="s">
        <v>103</v>
      </c>
      <c r="R48" s="34" t="s">
        <v>104</v>
      </c>
      <c r="S48" s="13" t="s">
        <v>105</v>
      </c>
      <c r="T48" s="32">
        <v>600</v>
      </c>
      <c r="U48" s="14"/>
    </row>
    <row r="49" spans="16:21" x14ac:dyDescent="0.25">
      <c r="P49" s="12"/>
      <c r="Q49" s="34" t="s">
        <v>94</v>
      </c>
      <c r="R49" s="34" t="s">
        <v>95</v>
      </c>
      <c r="S49" s="13" t="s">
        <v>99</v>
      </c>
      <c r="T49" s="32">
        <v>39</v>
      </c>
      <c r="U49" s="14" t="s">
        <v>89</v>
      </c>
    </row>
    <row r="50" spans="16:21" x14ac:dyDescent="0.25">
      <c r="P50" s="12"/>
      <c r="Q50" s="34" t="s">
        <v>94</v>
      </c>
      <c r="R50" s="34" t="s">
        <v>95</v>
      </c>
      <c r="S50" s="13" t="s">
        <v>96</v>
      </c>
      <c r="T50" s="32">
        <v>800</v>
      </c>
      <c r="U50" s="14"/>
    </row>
    <row r="51" spans="16:21" x14ac:dyDescent="0.25">
      <c r="P51" s="7"/>
      <c r="Q51" s="34" t="s">
        <v>94</v>
      </c>
      <c r="R51" s="34" t="s">
        <v>164</v>
      </c>
      <c r="S51" s="13" t="s">
        <v>165</v>
      </c>
      <c r="T51" s="32">
        <v>800</v>
      </c>
      <c r="U51" s="14"/>
    </row>
    <row r="52" spans="16:21" x14ac:dyDescent="0.25">
      <c r="P52" s="22" t="s">
        <v>108</v>
      </c>
      <c r="Q52" s="23"/>
      <c r="R52" s="24"/>
      <c r="S52" s="24"/>
      <c r="T52" s="25">
        <f>SUM(T48:T51)</f>
        <v>2239</v>
      </c>
      <c r="U52"/>
    </row>
    <row r="54" spans="16:21" x14ac:dyDescent="0.25">
      <c r="P54" s="2" t="s">
        <v>1</v>
      </c>
      <c r="Q54" s="2" t="s">
        <v>2</v>
      </c>
      <c r="R54" s="3" t="s">
        <v>3</v>
      </c>
      <c r="S54" s="2" t="s">
        <v>4</v>
      </c>
      <c r="T54" s="4" t="s">
        <v>5</v>
      </c>
      <c r="U54" s="5" t="s">
        <v>6</v>
      </c>
    </row>
    <row r="55" spans="16:21" x14ac:dyDescent="0.25">
      <c r="P55" s="12" t="s">
        <v>166</v>
      </c>
      <c r="Q55" s="34" t="s">
        <v>167</v>
      </c>
      <c r="R55" s="34" t="s">
        <v>168</v>
      </c>
      <c r="S55" s="13" t="s">
        <v>169</v>
      </c>
      <c r="T55" s="32">
        <v>600</v>
      </c>
      <c r="U55" s="14"/>
    </row>
    <row r="56" spans="16:21" x14ac:dyDescent="0.25">
      <c r="P56" s="12"/>
      <c r="Q56" s="34" t="s">
        <v>167</v>
      </c>
      <c r="R56" s="34" t="s">
        <v>170</v>
      </c>
      <c r="S56" s="13" t="s">
        <v>171</v>
      </c>
      <c r="T56" s="32">
        <v>600</v>
      </c>
      <c r="U56" s="14"/>
    </row>
    <row r="57" spans="16:21" x14ac:dyDescent="0.25">
      <c r="P57" s="12"/>
      <c r="Q57" s="34" t="s">
        <v>167</v>
      </c>
      <c r="R57" s="34" t="s">
        <v>172</v>
      </c>
      <c r="S57" s="13" t="s">
        <v>173</v>
      </c>
      <c r="T57" s="32">
        <v>606</v>
      </c>
      <c r="U57" s="14"/>
    </row>
    <row r="58" spans="16:21" x14ac:dyDescent="0.25">
      <c r="P58" s="12"/>
      <c r="Q58" s="34" t="s">
        <v>167</v>
      </c>
      <c r="R58" s="34" t="s">
        <v>174</v>
      </c>
      <c r="S58" s="13" t="s">
        <v>175</v>
      </c>
      <c r="T58" s="32">
        <v>1206</v>
      </c>
      <c r="U58" s="14"/>
    </row>
    <row r="59" spans="16:21" x14ac:dyDescent="0.25">
      <c r="P59" s="7"/>
      <c r="Q59" s="34" t="s">
        <v>167</v>
      </c>
      <c r="R59" s="34" t="s">
        <v>176</v>
      </c>
      <c r="S59" s="13" t="s">
        <v>177</v>
      </c>
      <c r="T59" s="32">
        <v>1006</v>
      </c>
      <c r="U59" s="14"/>
    </row>
    <row r="60" spans="16:21" x14ac:dyDescent="0.25">
      <c r="P60" s="22" t="s">
        <v>178</v>
      </c>
      <c r="Q60" s="23"/>
      <c r="R60" s="24"/>
      <c r="S60" s="24"/>
      <c r="T60" s="25">
        <f>SUM(T55:T59)</f>
        <v>4018</v>
      </c>
      <c r="U60"/>
    </row>
  </sheetData>
  <mergeCells count="3">
    <mergeCell ref="B2:G2"/>
    <mergeCell ref="I2:N2"/>
    <mergeCell ref="P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9A11-3E40-48CF-9210-95AFA2B1EF93}">
  <dimension ref="B2:U68"/>
  <sheetViews>
    <sheetView zoomScale="70" zoomScaleNormal="70" workbookViewId="0">
      <selection activeCell="J22" sqref="J22"/>
    </sheetView>
  </sheetViews>
  <sheetFormatPr baseColWidth="10" defaultColWidth="11.42578125" defaultRowHeight="15" x14ac:dyDescent="0.25"/>
  <cols>
    <col min="1" max="1" width="1.5703125" style="1" customWidth="1"/>
    <col min="2" max="2" width="9.7109375" style="1" customWidth="1"/>
    <col min="3" max="3" width="11.85546875" style="26" customWidth="1"/>
    <col min="4" max="4" width="11.28515625" style="26" customWidth="1"/>
    <col min="5" max="5" width="21.140625" style="1" customWidth="1"/>
    <col min="6" max="6" width="14" style="30" customWidth="1"/>
    <col min="7" max="7" width="11.42578125" style="31"/>
    <col min="8" max="8" width="2.7109375" style="1" customWidth="1"/>
    <col min="9" max="9" width="10.5703125" style="1" customWidth="1"/>
    <col min="10" max="10" width="12.28515625" style="26" customWidth="1"/>
    <col min="11" max="11" width="13.7109375" style="26" customWidth="1"/>
    <col min="12" max="12" width="17.28515625" style="1" customWidth="1"/>
    <col min="13" max="13" width="14" style="30" customWidth="1"/>
    <col min="14" max="14" width="11.42578125" style="1"/>
    <col min="15" max="15" width="1.7109375" style="1" customWidth="1"/>
    <col min="16" max="16" width="10.140625" style="1" customWidth="1"/>
    <col min="17" max="17" width="11.5703125" style="26" customWidth="1"/>
    <col min="18" max="18" width="12.140625" style="26" customWidth="1"/>
    <col min="19" max="19" width="17.28515625" style="1" customWidth="1"/>
    <col min="20" max="20" width="13" style="1" customWidth="1"/>
    <col min="21" max="16384" width="11.42578125" style="1"/>
  </cols>
  <sheetData>
    <row r="2" spans="2:21" x14ac:dyDescent="0.25">
      <c r="B2" s="44" t="s">
        <v>0</v>
      </c>
      <c r="C2" s="45"/>
      <c r="D2" s="45"/>
      <c r="E2" s="45"/>
      <c r="F2" s="45"/>
      <c r="G2" s="46"/>
      <c r="I2" s="44" t="s">
        <v>0</v>
      </c>
      <c r="J2" s="45"/>
      <c r="K2" s="45"/>
      <c r="L2" s="45"/>
      <c r="M2" s="45"/>
      <c r="N2" s="46"/>
      <c r="P2" s="47" t="s">
        <v>0</v>
      </c>
      <c r="Q2" s="48"/>
      <c r="R2" s="48"/>
      <c r="S2" s="48"/>
      <c r="T2" s="48"/>
      <c r="U2" s="48"/>
    </row>
    <row r="3" spans="2:21" ht="34.5" customHeight="1" x14ac:dyDescent="0.25"/>
    <row r="4" spans="2:21" x14ac:dyDescent="0.25">
      <c r="B4" s="2" t="s">
        <v>1</v>
      </c>
      <c r="C4" s="2" t="s">
        <v>2</v>
      </c>
      <c r="D4" s="3" t="s">
        <v>3</v>
      </c>
      <c r="E4" s="2" t="s">
        <v>4</v>
      </c>
      <c r="F4" s="4" t="s">
        <v>5</v>
      </c>
      <c r="G4" s="5" t="s">
        <v>6</v>
      </c>
      <c r="I4" s="2" t="s">
        <v>1</v>
      </c>
      <c r="J4" s="2" t="s">
        <v>2</v>
      </c>
      <c r="K4" s="3" t="s">
        <v>3</v>
      </c>
      <c r="L4" s="2" t="s">
        <v>4</v>
      </c>
      <c r="M4" s="4" t="s">
        <v>5</v>
      </c>
      <c r="N4" s="5" t="s">
        <v>6</v>
      </c>
      <c r="P4" s="2" t="s">
        <v>1</v>
      </c>
      <c r="Q4" s="2" t="s">
        <v>2</v>
      </c>
      <c r="R4" s="3" t="s">
        <v>3</v>
      </c>
      <c r="S4" s="2" t="s">
        <v>4</v>
      </c>
      <c r="T4" s="4" t="s">
        <v>5</v>
      </c>
      <c r="U4" s="5" t="s">
        <v>6</v>
      </c>
    </row>
    <row r="5" spans="2:21" x14ac:dyDescent="0.25">
      <c r="B5" s="6" t="s">
        <v>7</v>
      </c>
      <c r="C5" s="7" t="s">
        <v>264</v>
      </c>
      <c r="D5" s="8">
        <v>5066895</v>
      </c>
      <c r="E5" s="9" t="s">
        <v>13</v>
      </c>
      <c r="F5" s="10">
        <v>200</v>
      </c>
      <c r="G5" s="11"/>
      <c r="I5" s="15" t="s">
        <v>8</v>
      </c>
      <c r="J5" s="35" t="s">
        <v>299</v>
      </c>
      <c r="K5" s="36" t="s">
        <v>300</v>
      </c>
      <c r="L5" s="34" t="s">
        <v>12</v>
      </c>
      <c r="M5" s="10">
        <v>500</v>
      </c>
      <c r="N5" s="14"/>
      <c r="P5" s="12" t="s">
        <v>25</v>
      </c>
      <c r="Q5" s="35" t="s">
        <v>46</v>
      </c>
      <c r="R5" s="36">
        <v>4416</v>
      </c>
      <c r="S5" s="34" t="s">
        <v>33</v>
      </c>
      <c r="T5" s="10">
        <v>700</v>
      </c>
      <c r="U5" s="14"/>
    </row>
    <row r="6" spans="2:21" x14ac:dyDescent="0.25">
      <c r="B6" s="6" t="s">
        <v>9</v>
      </c>
      <c r="C6" s="16" t="s">
        <v>265</v>
      </c>
      <c r="D6" s="17"/>
      <c r="E6" s="18"/>
      <c r="F6" s="19">
        <f>SUM(F5)</f>
        <v>200</v>
      </c>
      <c r="G6" s="20"/>
      <c r="I6" s="12"/>
      <c r="J6" s="35" t="s">
        <v>301</v>
      </c>
      <c r="K6" s="36" t="s">
        <v>302</v>
      </c>
      <c r="L6" s="34" t="s">
        <v>38</v>
      </c>
      <c r="M6" s="10">
        <v>552</v>
      </c>
      <c r="N6" s="14"/>
      <c r="P6" s="12"/>
      <c r="Q6" s="35" t="s">
        <v>46</v>
      </c>
      <c r="R6" s="36">
        <v>4416</v>
      </c>
      <c r="S6" s="34" t="s">
        <v>23</v>
      </c>
      <c r="T6" s="10">
        <v>700</v>
      </c>
      <c r="U6" s="14"/>
    </row>
    <row r="7" spans="2:21" x14ac:dyDescent="0.25">
      <c r="B7" s="6"/>
      <c r="C7" s="27" t="s">
        <v>189</v>
      </c>
      <c r="D7" s="28">
        <v>5066563</v>
      </c>
      <c r="E7" s="9" t="s">
        <v>190</v>
      </c>
      <c r="F7" s="10">
        <v>525</v>
      </c>
      <c r="G7" s="11"/>
      <c r="I7" s="12"/>
      <c r="J7" s="35" t="s">
        <v>301</v>
      </c>
      <c r="K7" s="36" t="s">
        <v>302</v>
      </c>
      <c r="L7" s="34" t="s">
        <v>303</v>
      </c>
      <c r="M7" s="10">
        <v>552</v>
      </c>
      <c r="N7" s="14"/>
      <c r="P7" s="12"/>
      <c r="Q7" s="35" t="s">
        <v>179</v>
      </c>
      <c r="R7" s="36">
        <v>4416</v>
      </c>
      <c r="S7" s="34" t="s">
        <v>32</v>
      </c>
      <c r="T7" s="10">
        <v>700</v>
      </c>
      <c r="U7" s="14"/>
    </row>
    <row r="8" spans="2:21" x14ac:dyDescent="0.25">
      <c r="B8" s="6"/>
      <c r="C8" s="7"/>
      <c r="D8" s="8"/>
      <c r="E8" s="9" t="s">
        <v>226</v>
      </c>
      <c r="F8" s="10">
        <v>1535</v>
      </c>
      <c r="G8" s="11"/>
      <c r="I8" s="12"/>
      <c r="J8" s="35" t="s">
        <v>304</v>
      </c>
      <c r="K8" s="36" t="s">
        <v>305</v>
      </c>
      <c r="L8" s="34" t="s">
        <v>37</v>
      </c>
      <c r="M8" s="10">
        <v>1032</v>
      </c>
      <c r="N8" s="14"/>
      <c r="P8" s="12"/>
      <c r="Q8" s="35" t="s">
        <v>31</v>
      </c>
      <c r="R8" s="36">
        <v>4416</v>
      </c>
      <c r="S8" s="34" t="s">
        <v>33</v>
      </c>
      <c r="T8" s="10">
        <v>700</v>
      </c>
      <c r="U8" s="14"/>
    </row>
    <row r="9" spans="2:21" x14ac:dyDescent="0.25">
      <c r="B9" s="6"/>
      <c r="C9" s="16" t="s">
        <v>195</v>
      </c>
      <c r="D9" s="17"/>
      <c r="E9" s="18"/>
      <c r="F9" s="19">
        <f>SUM(F7:F8)</f>
        <v>2060</v>
      </c>
      <c r="G9" s="20"/>
      <c r="I9" s="12"/>
      <c r="J9" s="35" t="s">
        <v>304</v>
      </c>
      <c r="K9" s="36" t="s">
        <v>305</v>
      </c>
      <c r="L9" s="34" t="s">
        <v>38</v>
      </c>
      <c r="M9" s="10">
        <v>1032</v>
      </c>
      <c r="N9" s="14"/>
      <c r="P9" s="12"/>
      <c r="Q9" s="35" t="s">
        <v>31</v>
      </c>
      <c r="R9" s="36">
        <v>4416</v>
      </c>
      <c r="S9" s="34" t="s">
        <v>23</v>
      </c>
      <c r="T9" s="10">
        <v>700</v>
      </c>
      <c r="U9" s="14"/>
    </row>
    <row r="10" spans="2:21" x14ac:dyDescent="0.25">
      <c r="B10" s="6"/>
      <c r="C10" s="7" t="s">
        <v>266</v>
      </c>
      <c r="D10" s="8">
        <v>5066900</v>
      </c>
      <c r="E10" s="9" t="s">
        <v>13</v>
      </c>
      <c r="F10" s="10">
        <v>240</v>
      </c>
      <c r="G10" s="11"/>
      <c r="I10" s="12"/>
      <c r="J10" s="35" t="s">
        <v>304</v>
      </c>
      <c r="K10" s="36" t="s">
        <v>305</v>
      </c>
      <c r="L10" s="34" t="s">
        <v>303</v>
      </c>
      <c r="M10" s="10">
        <v>6816</v>
      </c>
      <c r="N10" s="14"/>
      <c r="P10" s="12"/>
      <c r="Q10" s="35" t="s">
        <v>44</v>
      </c>
      <c r="R10" s="36">
        <v>4416</v>
      </c>
      <c r="S10" s="34" t="s">
        <v>23</v>
      </c>
      <c r="T10" s="10">
        <v>700</v>
      </c>
      <c r="U10" s="14"/>
    </row>
    <row r="11" spans="2:21" x14ac:dyDescent="0.25">
      <c r="B11" s="6"/>
      <c r="C11" s="16" t="s">
        <v>267</v>
      </c>
      <c r="D11" s="17"/>
      <c r="E11" s="18"/>
      <c r="F11" s="19">
        <f>SUM(F10)</f>
        <v>240</v>
      </c>
      <c r="G11" s="20"/>
      <c r="I11" s="12"/>
      <c r="J11" s="35" t="s">
        <v>304</v>
      </c>
      <c r="K11" s="36" t="s">
        <v>306</v>
      </c>
      <c r="L11" s="34" t="s">
        <v>10</v>
      </c>
      <c r="M11" s="10">
        <v>1344</v>
      </c>
      <c r="N11" s="14"/>
      <c r="P11" s="12"/>
      <c r="Q11" s="35" t="s">
        <v>44</v>
      </c>
      <c r="R11" s="36">
        <v>4416</v>
      </c>
      <c r="S11" s="34" t="s">
        <v>24</v>
      </c>
      <c r="T11" s="10">
        <v>700</v>
      </c>
      <c r="U11" s="14"/>
    </row>
    <row r="12" spans="2:21" x14ac:dyDescent="0.25">
      <c r="B12" s="6"/>
      <c r="C12" s="7" t="s">
        <v>268</v>
      </c>
      <c r="D12" s="8">
        <v>5066901</v>
      </c>
      <c r="E12" s="9" t="s">
        <v>13</v>
      </c>
      <c r="F12" s="10">
        <v>240</v>
      </c>
      <c r="G12" s="11"/>
      <c r="I12" s="12"/>
      <c r="J12" s="35" t="s">
        <v>118</v>
      </c>
      <c r="K12" s="36" t="s">
        <v>119</v>
      </c>
      <c r="L12" s="34" t="s">
        <v>10</v>
      </c>
      <c r="M12" s="10">
        <v>50</v>
      </c>
      <c r="N12" s="14"/>
      <c r="P12" s="12"/>
      <c r="Q12" s="35" t="s">
        <v>44</v>
      </c>
      <c r="R12" s="36">
        <v>4416</v>
      </c>
      <c r="S12" s="34" t="s">
        <v>32</v>
      </c>
      <c r="T12" s="10">
        <v>700</v>
      </c>
      <c r="U12" s="14"/>
    </row>
    <row r="13" spans="2:21" x14ac:dyDescent="0.25">
      <c r="B13" s="6"/>
      <c r="C13" s="16" t="s">
        <v>269</v>
      </c>
      <c r="D13" s="17"/>
      <c r="E13" s="18"/>
      <c r="F13" s="19">
        <f>SUM(F12)</f>
        <v>240</v>
      </c>
      <c r="G13" s="20"/>
      <c r="I13" s="12"/>
      <c r="J13" s="35" t="s">
        <v>118</v>
      </c>
      <c r="K13" s="36" t="s">
        <v>120</v>
      </c>
      <c r="L13" s="34" t="s">
        <v>10</v>
      </c>
      <c r="M13" s="10">
        <v>1190</v>
      </c>
      <c r="N13" s="14"/>
      <c r="P13" s="12"/>
      <c r="Q13" s="35" t="s">
        <v>44</v>
      </c>
      <c r="R13" s="36">
        <v>4416</v>
      </c>
      <c r="S13" s="34" t="s">
        <v>15</v>
      </c>
      <c r="T13" s="10">
        <v>700</v>
      </c>
      <c r="U13" s="14"/>
    </row>
    <row r="14" spans="2:21" x14ac:dyDescent="0.25">
      <c r="B14" s="6"/>
      <c r="C14" s="7" t="s">
        <v>270</v>
      </c>
      <c r="D14" s="8">
        <v>5066902</v>
      </c>
      <c r="E14" s="9" t="s">
        <v>83</v>
      </c>
      <c r="F14" s="10">
        <v>288</v>
      </c>
      <c r="G14" s="11"/>
      <c r="I14" s="12"/>
      <c r="J14" s="35" t="s">
        <v>307</v>
      </c>
      <c r="K14" s="36" t="s">
        <v>308</v>
      </c>
      <c r="L14" s="34" t="s">
        <v>37</v>
      </c>
      <c r="M14" s="10">
        <v>500</v>
      </c>
      <c r="N14" s="14"/>
      <c r="P14" s="12"/>
      <c r="Q14" s="35" t="s">
        <v>47</v>
      </c>
      <c r="R14" s="36">
        <v>4416</v>
      </c>
      <c r="S14" s="34" t="s">
        <v>33</v>
      </c>
      <c r="T14" s="10">
        <v>700</v>
      </c>
      <c r="U14" s="14"/>
    </row>
    <row r="15" spans="2:21" x14ac:dyDescent="0.25">
      <c r="B15" s="6"/>
      <c r="C15" s="16" t="s">
        <v>271</v>
      </c>
      <c r="D15" s="17"/>
      <c r="E15" s="18"/>
      <c r="F15" s="19">
        <f>SUM(F14)</f>
        <v>288</v>
      </c>
      <c r="G15" s="20"/>
      <c r="I15" s="7"/>
      <c r="J15" s="35" t="s">
        <v>309</v>
      </c>
      <c r="K15" s="36" t="s">
        <v>310</v>
      </c>
      <c r="L15" s="34" t="s">
        <v>12</v>
      </c>
      <c r="M15" s="10">
        <v>75</v>
      </c>
      <c r="N15" s="14" t="s">
        <v>69</v>
      </c>
      <c r="P15" s="12"/>
      <c r="Q15" s="35" t="s">
        <v>47</v>
      </c>
      <c r="R15" s="36">
        <v>4416</v>
      </c>
      <c r="S15" s="34" t="s">
        <v>43</v>
      </c>
      <c r="T15" s="10">
        <v>700</v>
      </c>
      <c r="U15" s="14"/>
    </row>
    <row r="16" spans="2:21" x14ac:dyDescent="0.25">
      <c r="B16" s="6"/>
      <c r="C16" s="7" t="s">
        <v>272</v>
      </c>
      <c r="D16" s="8">
        <v>5066903</v>
      </c>
      <c r="E16" s="9" t="s">
        <v>13</v>
      </c>
      <c r="F16" s="10">
        <v>244</v>
      </c>
      <c r="G16" s="11"/>
      <c r="I16" s="22" t="s">
        <v>28</v>
      </c>
      <c r="J16" s="23"/>
      <c r="K16" s="24"/>
      <c r="L16" s="24"/>
      <c r="M16" s="25">
        <f>SUM(M5:M15)</f>
        <v>13643</v>
      </c>
      <c r="N16"/>
      <c r="P16" s="12"/>
      <c r="Q16" s="35" t="s">
        <v>45</v>
      </c>
      <c r="R16" s="36">
        <v>4416</v>
      </c>
      <c r="S16" s="34" t="s">
        <v>24</v>
      </c>
      <c r="T16" s="10">
        <v>700</v>
      </c>
      <c r="U16" s="14"/>
    </row>
    <row r="17" spans="2:21" x14ac:dyDescent="0.25">
      <c r="B17" s="6"/>
      <c r="C17" s="16" t="s">
        <v>273</v>
      </c>
      <c r="D17" s="17"/>
      <c r="E17" s="18"/>
      <c r="F17" s="19">
        <f>SUM(F16)</f>
        <v>244</v>
      </c>
      <c r="G17" s="20"/>
      <c r="M17" s="1"/>
      <c r="P17" s="12"/>
      <c r="Q17" s="35" t="s">
        <v>45</v>
      </c>
      <c r="R17" s="36">
        <v>4416</v>
      </c>
      <c r="S17" s="34" t="s">
        <v>33</v>
      </c>
      <c r="T17" s="10">
        <v>700</v>
      </c>
      <c r="U17" s="14"/>
    </row>
    <row r="18" spans="2:21" x14ac:dyDescent="0.25">
      <c r="B18" s="6"/>
      <c r="C18" s="7" t="s">
        <v>274</v>
      </c>
      <c r="D18" s="8">
        <v>5066904</v>
      </c>
      <c r="E18" s="9" t="s">
        <v>13</v>
      </c>
      <c r="F18" s="10">
        <v>360</v>
      </c>
      <c r="G18" s="11"/>
      <c r="P18" s="12"/>
      <c r="Q18" s="35" t="s">
        <v>45</v>
      </c>
      <c r="R18" s="36">
        <v>4416</v>
      </c>
      <c r="S18" s="34" t="s">
        <v>43</v>
      </c>
      <c r="T18" s="10">
        <v>700</v>
      </c>
      <c r="U18" s="14"/>
    </row>
    <row r="19" spans="2:21" x14ac:dyDescent="0.25">
      <c r="B19" s="29"/>
      <c r="C19" s="16" t="s">
        <v>275</v>
      </c>
      <c r="D19" s="17"/>
      <c r="E19" s="18"/>
      <c r="F19" s="19">
        <f>SUM(F18)</f>
        <v>360</v>
      </c>
      <c r="G19" s="20"/>
      <c r="P19" s="12"/>
      <c r="Q19" s="35" t="s">
        <v>45</v>
      </c>
      <c r="R19" s="36">
        <v>4416</v>
      </c>
      <c r="S19" s="34" t="s">
        <v>32</v>
      </c>
      <c r="T19" s="10">
        <v>700</v>
      </c>
      <c r="U19" s="14"/>
    </row>
    <row r="20" spans="2:21" x14ac:dyDescent="0.25">
      <c r="B20" s="22" t="s">
        <v>22</v>
      </c>
      <c r="C20" s="23"/>
      <c r="D20" s="24"/>
      <c r="E20" s="24"/>
      <c r="F20" s="25">
        <f>SUM(F19,F17,F15,F13,F11,F9,F6)</f>
        <v>3632</v>
      </c>
      <c r="G20" s="1"/>
      <c r="P20" s="12"/>
      <c r="Q20" s="35" t="s">
        <v>45</v>
      </c>
      <c r="R20" s="36">
        <v>4416</v>
      </c>
      <c r="S20" s="34" t="s">
        <v>23</v>
      </c>
      <c r="T20" s="10">
        <v>700</v>
      </c>
      <c r="U20" s="14"/>
    </row>
    <row r="21" spans="2:21" x14ac:dyDescent="0.25">
      <c r="P21" s="12"/>
      <c r="Q21" s="35" t="s">
        <v>50</v>
      </c>
      <c r="R21" s="36">
        <v>4416</v>
      </c>
      <c r="S21" s="34" t="s">
        <v>23</v>
      </c>
      <c r="T21" s="10">
        <v>700</v>
      </c>
      <c r="U21" s="14"/>
    </row>
    <row r="22" spans="2:21" ht="14.25" customHeight="1" x14ac:dyDescent="0.25">
      <c r="B22" s="2" t="s">
        <v>1</v>
      </c>
      <c r="C22" s="2" t="s">
        <v>2</v>
      </c>
      <c r="D22" s="3" t="s">
        <v>3</v>
      </c>
      <c r="E22" s="2" t="s">
        <v>4</v>
      </c>
      <c r="F22" s="4" t="s">
        <v>5</v>
      </c>
      <c r="G22" s="5" t="s">
        <v>6</v>
      </c>
      <c r="P22" s="12"/>
      <c r="Q22" s="35" t="s">
        <v>50</v>
      </c>
      <c r="R22" s="36">
        <v>4416</v>
      </c>
      <c r="S22" s="34" t="s">
        <v>43</v>
      </c>
      <c r="T22" s="10">
        <v>700</v>
      </c>
      <c r="U22" s="14"/>
    </row>
    <row r="23" spans="2:21" x14ac:dyDescent="0.25">
      <c r="B23" s="6" t="s">
        <v>7</v>
      </c>
      <c r="C23" s="27" t="s">
        <v>276</v>
      </c>
      <c r="D23" s="28">
        <v>5065313</v>
      </c>
      <c r="E23" s="9" t="s">
        <v>277</v>
      </c>
      <c r="F23" s="10">
        <v>18</v>
      </c>
      <c r="G23" s="11" t="s">
        <v>219</v>
      </c>
      <c r="P23" s="12"/>
      <c r="Q23" s="35" t="s">
        <v>50</v>
      </c>
      <c r="R23" s="36">
        <v>4416</v>
      </c>
      <c r="S23" s="34" t="s">
        <v>24</v>
      </c>
      <c r="T23" s="10">
        <v>700</v>
      </c>
      <c r="U23" s="14"/>
    </row>
    <row r="24" spans="2:21" x14ac:dyDescent="0.25">
      <c r="B24" s="6" t="s">
        <v>9</v>
      </c>
      <c r="C24" s="27"/>
      <c r="D24" s="28"/>
      <c r="E24" s="9" t="s">
        <v>278</v>
      </c>
      <c r="F24" s="10">
        <v>46</v>
      </c>
      <c r="G24" s="11" t="s">
        <v>219</v>
      </c>
      <c r="P24" s="12"/>
      <c r="Q24" s="35" t="s">
        <v>50</v>
      </c>
      <c r="R24" s="36">
        <v>4416</v>
      </c>
      <c r="S24" s="34" t="s">
        <v>32</v>
      </c>
      <c r="T24" s="10">
        <v>700</v>
      </c>
      <c r="U24" s="14"/>
    </row>
    <row r="25" spans="2:21" x14ac:dyDescent="0.25">
      <c r="B25" s="6"/>
      <c r="C25" s="27"/>
      <c r="D25" s="28"/>
      <c r="E25" s="9" t="s">
        <v>279</v>
      </c>
      <c r="F25" s="10">
        <v>32</v>
      </c>
      <c r="G25" s="11" t="s">
        <v>219</v>
      </c>
      <c r="P25" s="12"/>
      <c r="Q25" s="35" t="s">
        <v>51</v>
      </c>
      <c r="R25" s="36">
        <v>4416</v>
      </c>
      <c r="S25" s="34" t="s">
        <v>24</v>
      </c>
      <c r="T25" s="10">
        <v>700</v>
      </c>
      <c r="U25" s="14"/>
    </row>
    <row r="26" spans="2:21" ht="14.25" customHeight="1" x14ac:dyDescent="0.25">
      <c r="B26" s="6"/>
      <c r="C26" s="7"/>
      <c r="D26" s="8"/>
      <c r="E26" s="9" t="s">
        <v>280</v>
      </c>
      <c r="F26" s="10">
        <v>24</v>
      </c>
      <c r="G26" s="11" t="s">
        <v>219</v>
      </c>
      <c r="P26" s="12"/>
      <c r="Q26" s="35" t="s">
        <v>51</v>
      </c>
      <c r="R26" s="36">
        <v>4416</v>
      </c>
      <c r="S26" s="34" t="s">
        <v>32</v>
      </c>
      <c r="T26" s="10">
        <v>700</v>
      </c>
      <c r="U26" s="14"/>
    </row>
    <row r="27" spans="2:21" ht="13.5" customHeight="1" x14ac:dyDescent="0.25">
      <c r="B27" s="6"/>
      <c r="C27" s="16" t="s">
        <v>281</v>
      </c>
      <c r="D27" s="17"/>
      <c r="E27" s="18"/>
      <c r="F27" s="19">
        <f>SUM(F23:F26)</f>
        <v>120</v>
      </c>
      <c r="G27" s="20"/>
      <c r="P27" s="12"/>
      <c r="Q27" s="35" t="s">
        <v>51</v>
      </c>
      <c r="R27" s="36">
        <v>4416</v>
      </c>
      <c r="S27" s="34" t="s">
        <v>23</v>
      </c>
      <c r="T27" s="10">
        <v>700</v>
      </c>
      <c r="U27" s="14"/>
    </row>
    <row r="28" spans="2:21" ht="14.25" customHeight="1" x14ac:dyDescent="0.25">
      <c r="B28" s="6"/>
      <c r="C28" s="27" t="s">
        <v>282</v>
      </c>
      <c r="D28" s="28">
        <v>5065316</v>
      </c>
      <c r="E28" s="9" t="s">
        <v>283</v>
      </c>
      <c r="F28" s="10">
        <v>500</v>
      </c>
      <c r="G28" s="11"/>
      <c r="P28" s="12"/>
      <c r="Q28" s="35" t="s">
        <v>74</v>
      </c>
      <c r="R28" s="36">
        <v>4416</v>
      </c>
      <c r="S28" s="34" t="s">
        <v>180</v>
      </c>
      <c r="T28" s="10">
        <v>1116</v>
      </c>
      <c r="U28" s="14"/>
    </row>
    <row r="29" spans="2:21" x14ac:dyDescent="0.25">
      <c r="B29" s="6"/>
      <c r="C29" s="27"/>
      <c r="D29" s="28"/>
      <c r="E29" s="9" t="s">
        <v>192</v>
      </c>
      <c r="F29" s="10">
        <v>1785</v>
      </c>
      <c r="G29" s="11"/>
      <c r="P29" s="12"/>
      <c r="Q29" s="35" t="s">
        <v>181</v>
      </c>
      <c r="R29" s="36">
        <v>4416</v>
      </c>
      <c r="S29" s="34" t="s">
        <v>180</v>
      </c>
      <c r="T29" s="10">
        <v>600</v>
      </c>
      <c r="U29" s="14"/>
    </row>
    <row r="30" spans="2:21" x14ac:dyDescent="0.25">
      <c r="B30" s="6"/>
      <c r="C30" s="27"/>
      <c r="D30" s="28"/>
      <c r="E30" s="9" t="s">
        <v>284</v>
      </c>
      <c r="F30" s="10">
        <v>2503</v>
      </c>
      <c r="G30" s="11"/>
      <c r="P30" s="12"/>
      <c r="Q30" s="35" t="s">
        <v>74</v>
      </c>
      <c r="R30" s="36">
        <v>4416</v>
      </c>
      <c r="S30" s="34" t="s">
        <v>23</v>
      </c>
      <c r="T30" s="10">
        <v>700</v>
      </c>
      <c r="U30" s="14"/>
    </row>
    <row r="31" spans="2:21" ht="15" customHeight="1" x14ac:dyDescent="0.25">
      <c r="B31" s="6"/>
      <c r="C31" s="7"/>
      <c r="D31" s="8"/>
      <c r="E31" s="9" t="s">
        <v>285</v>
      </c>
      <c r="F31" s="10">
        <v>1000</v>
      </c>
      <c r="G31" s="11"/>
      <c r="P31" s="12"/>
      <c r="Q31" s="35" t="s">
        <v>181</v>
      </c>
      <c r="R31" s="36">
        <v>4416</v>
      </c>
      <c r="S31" s="34" t="s">
        <v>23</v>
      </c>
      <c r="T31" s="10">
        <v>700</v>
      </c>
      <c r="U31" s="14"/>
    </row>
    <row r="32" spans="2:21" ht="15" customHeight="1" x14ac:dyDescent="0.25">
      <c r="B32" s="6"/>
      <c r="C32" s="16" t="s">
        <v>286</v>
      </c>
      <c r="D32" s="17"/>
      <c r="E32" s="18"/>
      <c r="F32" s="19">
        <f>SUM(F28:F31)</f>
        <v>5788</v>
      </c>
      <c r="G32" s="20"/>
      <c r="P32" s="12"/>
      <c r="Q32" s="35" t="s">
        <v>181</v>
      </c>
      <c r="R32" s="36">
        <v>4416</v>
      </c>
      <c r="S32" s="34" t="s">
        <v>24</v>
      </c>
      <c r="T32" s="10">
        <v>700</v>
      </c>
      <c r="U32" s="14"/>
    </row>
    <row r="33" spans="2:21" x14ac:dyDescent="0.25">
      <c r="B33" s="6"/>
      <c r="C33" s="7" t="s">
        <v>205</v>
      </c>
      <c r="D33" s="8">
        <v>5066529</v>
      </c>
      <c r="E33" s="9" t="s">
        <v>13</v>
      </c>
      <c r="F33" s="10">
        <v>1923</v>
      </c>
      <c r="G33" s="11"/>
      <c r="P33" s="12"/>
      <c r="Q33" s="35" t="s">
        <v>50</v>
      </c>
      <c r="R33" s="36">
        <v>4405</v>
      </c>
      <c r="S33" s="34" t="s">
        <v>33</v>
      </c>
      <c r="T33" s="10">
        <v>100</v>
      </c>
      <c r="U33" s="14" t="s">
        <v>89</v>
      </c>
    </row>
    <row r="34" spans="2:21" ht="14.25" customHeight="1" x14ac:dyDescent="0.25">
      <c r="B34" s="6"/>
      <c r="C34" s="16" t="s">
        <v>206</v>
      </c>
      <c r="D34" s="17"/>
      <c r="E34" s="18"/>
      <c r="F34" s="19">
        <f>SUM(F33)</f>
        <v>1923</v>
      </c>
      <c r="G34" s="20"/>
      <c r="P34" s="7"/>
      <c r="Q34" s="35" t="s">
        <v>50</v>
      </c>
      <c r="R34" s="36">
        <v>4354</v>
      </c>
      <c r="S34" s="34" t="s">
        <v>24</v>
      </c>
      <c r="T34" s="10">
        <v>500</v>
      </c>
      <c r="U34" s="14" t="s">
        <v>89</v>
      </c>
    </row>
    <row r="35" spans="2:21" ht="14.25" customHeight="1" x14ac:dyDescent="0.25">
      <c r="B35" s="6"/>
      <c r="C35" s="7" t="s">
        <v>207</v>
      </c>
      <c r="D35" s="8">
        <v>5066536</v>
      </c>
      <c r="E35" s="9" t="s">
        <v>13</v>
      </c>
      <c r="F35" s="10">
        <v>1166</v>
      </c>
      <c r="G35" s="11"/>
      <c r="P35" s="22" t="s">
        <v>26</v>
      </c>
      <c r="Q35" s="23"/>
      <c r="R35" s="24"/>
      <c r="S35" s="24"/>
      <c r="T35" s="25">
        <f>SUM(T5:T34)</f>
        <v>20516</v>
      </c>
      <c r="U35"/>
    </row>
    <row r="36" spans="2:21" ht="14.25" customHeight="1" x14ac:dyDescent="0.25">
      <c r="B36" s="6"/>
      <c r="C36" s="16" t="s">
        <v>208</v>
      </c>
      <c r="D36" s="17"/>
      <c r="E36" s="18"/>
      <c r="F36" s="19">
        <f>SUM(F35)</f>
        <v>1166</v>
      </c>
      <c r="G36" s="20"/>
    </row>
    <row r="37" spans="2:21" ht="14.25" customHeight="1" x14ac:dyDescent="0.25">
      <c r="B37" s="6"/>
      <c r="C37" s="7" t="s">
        <v>209</v>
      </c>
      <c r="D37" s="8">
        <v>5066950</v>
      </c>
      <c r="E37" s="9" t="s">
        <v>13</v>
      </c>
      <c r="F37" s="10">
        <v>200</v>
      </c>
      <c r="G37" s="11"/>
      <c r="P37" s="2" t="s">
        <v>1</v>
      </c>
      <c r="Q37" s="2" t="s">
        <v>2</v>
      </c>
      <c r="R37" s="3" t="s">
        <v>3</v>
      </c>
      <c r="S37" s="2" t="s">
        <v>4</v>
      </c>
      <c r="T37" s="4" t="s">
        <v>5</v>
      </c>
      <c r="U37" s="5" t="s">
        <v>6</v>
      </c>
    </row>
    <row r="38" spans="2:21" x14ac:dyDescent="0.25">
      <c r="B38" s="6"/>
      <c r="C38" s="16" t="s">
        <v>210</v>
      </c>
      <c r="D38" s="17"/>
      <c r="E38" s="18"/>
      <c r="F38" s="19">
        <f>SUM(F37)</f>
        <v>200</v>
      </c>
      <c r="G38" s="20"/>
      <c r="P38" s="12" t="s">
        <v>16</v>
      </c>
      <c r="Q38" s="35">
        <v>40885</v>
      </c>
      <c r="R38" s="36">
        <v>1684302</v>
      </c>
      <c r="S38" s="34" t="s">
        <v>150</v>
      </c>
      <c r="T38" s="10">
        <v>794</v>
      </c>
      <c r="U38" s="14"/>
    </row>
    <row r="39" spans="2:21" x14ac:dyDescent="0.25">
      <c r="B39" s="6"/>
      <c r="C39" s="7" t="s">
        <v>211</v>
      </c>
      <c r="D39" s="8">
        <v>5066951</v>
      </c>
      <c r="E39" s="9" t="s">
        <v>13</v>
      </c>
      <c r="F39" s="10">
        <v>200</v>
      </c>
      <c r="G39" s="11"/>
      <c r="P39" s="12"/>
      <c r="Q39" s="35">
        <v>30488</v>
      </c>
      <c r="R39" s="36">
        <v>1684302</v>
      </c>
      <c r="S39" s="34" t="s">
        <v>17</v>
      </c>
      <c r="T39" s="10">
        <v>1500</v>
      </c>
      <c r="U39" s="14"/>
    </row>
    <row r="40" spans="2:21" x14ac:dyDescent="0.25">
      <c r="B40" s="6"/>
      <c r="C40" s="16" t="s">
        <v>212</v>
      </c>
      <c r="D40" s="17"/>
      <c r="E40" s="18"/>
      <c r="F40" s="19">
        <f>SUM(F39)</f>
        <v>200</v>
      </c>
      <c r="G40" s="20"/>
      <c r="P40" s="12"/>
      <c r="Q40" s="35">
        <v>30489</v>
      </c>
      <c r="R40" s="36">
        <v>1684302</v>
      </c>
      <c r="S40" s="34" t="s">
        <v>157</v>
      </c>
      <c r="T40" s="10">
        <v>1500</v>
      </c>
      <c r="U40" s="14"/>
    </row>
    <row r="41" spans="2:21" x14ac:dyDescent="0.25">
      <c r="B41" s="6"/>
      <c r="C41" s="27" t="s">
        <v>187</v>
      </c>
      <c r="D41" s="28">
        <v>5065277</v>
      </c>
      <c r="E41" s="9" t="s">
        <v>13</v>
      </c>
      <c r="F41" s="10">
        <v>295</v>
      </c>
      <c r="G41" s="11"/>
      <c r="P41" s="12"/>
      <c r="Q41" s="35">
        <v>30491</v>
      </c>
      <c r="R41" s="36">
        <v>1684302</v>
      </c>
      <c r="S41" s="34" t="s">
        <v>158</v>
      </c>
      <c r="T41" s="10">
        <v>800</v>
      </c>
      <c r="U41" s="14"/>
    </row>
    <row r="42" spans="2:21" x14ac:dyDescent="0.25">
      <c r="B42" s="6"/>
      <c r="C42" s="7"/>
      <c r="D42" s="8"/>
      <c r="E42" s="9" t="s">
        <v>259</v>
      </c>
      <c r="F42" s="10">
        <v>295</v>
      </c>
      <c r="G42" s="11"/>
      <c r="P42" s="12"/>
      <c r="Q42" s="35">
        <v>33300</v>
      </c>
      <c r="R42" s="36">
        <v>1684302</v>
      </c>
      <c r="S42" s="34" t="s">
        <v>17</v>
      </c>
      <c r="T42" s="10">
        <v>800</v>
      </c>
      <c r="U42" s="14"/>
    </row>
    <row r="43" spans="2:21" x14ac:dyDescent="0.25">
      <c r="B43" s="6"/>
      <c r="C43" s="16" t="s">
        <v>188</v>
      </c>
      <c r="D43" s="17"/>
      <c r="E43" s="18"/>
      <c r="F43" s="19">
        <f>SUM(F41:F42)</f>
        <v>590</v>
      </c>
      <c r="G43" s="20"/>
      <c r="P43" s="12"/>
      <c r="Q43" s="35">
        <v>33303</v>
      </c>
      <c r="R43" s="36">
        <v>1684302</v>
      </c>
      <c r="S43" s="34" t="s">
        <v>157</v>
      </c>
      <c r="T43" s="10">
        <v>800</v>
      </c>
      <c r="U43" s="14"/>
    </row>
    <row r="44" spans="2:21" x14ac:dyDescent="0.25">
      <c r="B44" s="6"/>
      <c r="C44" s="27" t="s">
        <v>287</v>
      </c>
      <c r="D44" s="28">
        <v>5065408</v>
      </c>
      <c r="E44" s="9" t="s">
        <v>13</v>
      </c>
      <c r="F44" s="10">
        <v>150</v>
      </c>
      <c r="G44" s="11" t="s">
        <v>219</v>
      </c>
      <c r="P44" s="12"/>
      <c r="Q44" s="35">
        <v>40893</v>
      </c>
      <c r="R44" s="36">
        <v>1684302</v>
      </c>
      <c r="S44" s="34" t="s">
        <v>157</v>
      </c>
      <c r="T44" s="10">
        <v>800</v>
      </c>
      <c r="U44" s="14"/>
    </row>
    <row r="45" spans="2:21" x14ac:dyDescent="0.25">
      <c r="B45" s="6"/>
      <c r="C45" s="7"/>
      <c r="D45" s="8"/>
      <c r="E45" s="9" t="s">
        <v>259</v>
      </c>
      <c r="F45" s="10">
        <v>150</v>
      </c>
      <c r="G45" s="11" t="s">
        <v>219</v>
      </c>
      <c r="P45" s="21"/>
      <c r="Q45" s="35">
        <v>40895</v>
      </c>
      <c r="R45" s="36">
        <v>1684302</v>
      </c>
      <c r="S45" s="34" t="s">
        <v>17</v>
      </c>
      <c r="T45" s="10">
        <v>1000</v>
      </c>
      <c r="U45" s="14"/>
    </row>
    <row r="46" spans="2:21" x14ac:dyDescent="0.25">
      <c r="B46" s="6"/>
      <c r="C46" s="16" t="s">
        <v>288</v>
      </c>
      <c r="D46" s="17"/>
      <c r="E46" s="18"/>
      <c r="F46" s="19">
        <f>SUM(F44:F45)</f>
        <v>300</v>
      </c>
      <c r="G46" s="20"/>
      <c r="P46" s="22" t="s">
        <v>27</v>
      </c>
      <c r="Q46" s="23"/>
      <c r="R46" s="24"/>
      <c r="S46" s="24"/>
      <c r="T46" s="25">
        <f>SUM(T38:T45)</f>
        <v>7994</v>
      </c>
      <c r="U46"/>
    </row>
    <row r="47" spans="2:21" x14ac:dyDescent="0.25">
      <c r="B47" s="6"/>
      <c r="C47" s="7" t="s">
        <v>196</v>
      </c>
      <c r="D47" s="8">
        <v>5066546</v>
      </c>
      <c r="E47" s="9" t="s">
        <v>216</v>
      </c>
      <c r="F47" s="10">
        <v>1637</v>
      </c>
      <c r="G47" s="11"/>
    </row>
    <row r="48" spans="2:21" x14ac:dyDescent="0.25">
      <c r="B48" s="29"/>
      <c r="C48" s="16" t="s">
        <v>197</v>
      </c>
      <c r="D48" s="17"/>
      <c r="E48" s="18"/>
      <c r="F48" s="19">
        <f>SUM(F47)</f>
        <v>1637</v>
      </c>
      <c r="G48" s="20"/>
    </row>
    <row r="49" spans="2:7" x14ac:dyDescent="0.25">
      <c r="B49" s="22" t="s">
        <v>22</v>
      </c>
      <c r="C49" s="23"/>
      <c r="D49" s="24"/>
      <c r="E49" s="24"/>
      <c r="F49" s="25">
        <f>SUM(F48,F46,F43,F40,F38,F36,F34,F32,F27)</f>
        <v>11924</v>
      </c>
      <c r="G49" s="1"/>
    </row>
    <row r="51" spans="2:7" x14ac:dyDescent="0.25">
      <c r="B51" s="2" t="s">
        <v>1</v>
      </c>
      <c r="C51" s="2" t="s">
        <v>2</v>
      </c>
      <c r="D51" s="3" t="s">
        <v>3</v>
      </c>
      <c r="E51" s="2" t="s">
        <v>4</v>
      </c>
      <c r="F51" s="4" t="s">
        <v>5</v>
      </c>
      <c r="G51" s="5" t="s">
        <v>6</v>
      </c>
    </row>
    <row r="52" spans="2:7" x14ac:dyDescent="0.25">
      <c r="B52" s="42" t="s">
        <v>289</v>
      </c>
      <c r="C52" s="39">
        <v>101442</v>
      </c>
      <c r="D52" s="40">
        <v>4500000044</v>
      </c>
      <c r="E52" s="43" t="s">
        <v>290</v>
      </c>
      <c r="F52" s="10">
        <v>700</v>
      </c>
      <c r="G52" s="11"/>
    </row>
    <row r="53" spans="2:7" x14ac:dyDescent="0.25">
      <c r="B53" s="6"/>
      <c r="C53" s="16" t="s">
        <v>291</v>
      </c>
      <c r="D53" s="17"/>
      <c r="E53" s="18"/>
      <c r="F53" s="19">
        <f>SUM(F52)</f>
        <v>700</v>
      </c>
      <c r="G53" s="20"/>
    </row>
    <row r="54" spans="2:7" x14ac:dyDescent="0.25">
      <c r="B54" s="6"/>
      <c r="C54" s="7">
        <v>101447</v>
      </c>
      <c r="D54" s="8">
        <v>4500000044</v>
      </c>
      <c r="E54" s="9" t="s">
        <v>290</v>
      </c>
      <c r="F54" s="10">
        <v>700</v>
      </c>
      <c r="G54" s="11"/>
    </row>
    <row r="55" spans="2:7" x14ac:dyDescent="0.25">
      <c r="B55" s="29"/>
      <c r="C55" s="16" t="s">
        <v>292</v>
      </c>
      <c r="D55" s="17"/>
      <c r="E55" s="18"/>
      <c r="F55" s="19">
        <f>SUM(F54)</f>
        <v>700</v>
      </c>
      <c r="G55" s="20"/>
    </row>
    <row r="56" spans="2:7" x14ac:dyDescent="0.25">
      <c r="B56" s="22" t="s">
        <v>36</v>
      </c>
      <c r="C56" s="23"/>
      <c r="D56" s="24"/>
      <c r="E56" s="24"/>
      <c r="F56" s="25">
        <f>SUM(F55,F53)</f>
        <v>1400</v>
      </c>
      <c r="G56" s="1"/>
    </row>
    <row r="58" spans="2:7" x14ac:dyDescent="0.25">
      <c r="B58" s="2" t="s">
        <v>1</v>
      </c>
      <c r="C58" s="2" t="s">
        <v>2</v>
      </c>
      <c r="D58" s="3" t="s">
        <v>3</v>
      </c>
      <c r="E58" s="2" t="s">
        <v>4</v>
      </c>
      <c r="F58" s="4" t="s">
        <v>5</v>
      </c>
      <c r="G58" s="5" t="s">
        <v>6</v>
      </c>
    </row>
    <row r="59" spans="2:7" x14ac:dyDescent="0.25">
      <c r="B59" s="42" t="s">
        <v>34</v>
      </c>
      <c r="C59" s="27">
        <v>10155988</v>
      </c>
      <c r="D59" s="28">
        <v>4900010652</v>
      </c>
      <c r="E59" s="9" t="s">
        <v>263</v>
      </c>
      <c r="F59" s="10">
        <v>2200</v>
      </c>
      <c r="G59" s="11"/>
    </row>
    <row r="60" spans="2:7" x14ac:dyDescent="0.25">
      <c r="B60" s="6" t="s">
        <v>35</v>
      </c>
      <c r="C60" s="27"/>
      <c r="D60" s="28"/>
      <c r="E60" s="9" t="s">
        <v>293</v>
      </c>
      <c r="F60" s="10">
        <v>2200</v>
      </c>
      <c r="G60" s="11"/>
    </row>
    <row r="61" spans="2:7" x14ac:dyDescent="0.25">
      <c r="B61" s="6"/>
      <c r="C61" s="27"/>
      <c r="D61" s="28"/>
      <c r="E61" s="9" t="s">
        <v>294</v>
      </c>
      <c r="F61" s="10">
        <v>2000</v>
      </c>
      <c r="G61" s="11"/>
    </row>
    <row r="62" spans="2:7" x14ac:dyDescent="0.25">
      <c r="B62" s="6"/>
      <c r="C62" s="7"/>
      <c r="D62" s="8"/>
      <c r="E62" s="9" t="s">
        <v>295</v>
      </c>
      <c r="F62" s="10">
        <v>2200</v>
      </c>
      <c r="G62" s="11"/>
    </row>
    <row r="63" spans="2:7" x14ac:dyDescent="0.25">
      <c r="B63" s="6"/>
      <c r="C63" s="16" t="s">
        <v>296</v>
      </c>
      <c r="D63" s="17"/>
      <c r="E63" s="18"/>
      <c r="F63" s="19">
        <f>SUM(F59:F62)</f>
        <v>8600</v>
      </c>
      <c r="G63" s="20"/>
    </row>
    <row r="64" spans="2:7" x14ac:dyDescent="0.25">
      <c r="B64" s="6"/>
      <c r="C64" s="7">
        <v>10156006</v>
      </c>
      <c r="D64" s="8">
        <v>4900010655</v>
      </c>
      <c r="E64" s="9" t="s">
        <v>297</v>
      </c>
      <c r="F64" s="10">
        <v>2700</v>
      </c>
      <c r="G64" s="11"/>
    </row>
    <row r="65" spans="2:7" x14ac:dyDescent="0.25">
      <c r="B65" s="6"/>
      <c r="C65" s="16" t="s">
        <v>298</v>
      </c>
      <c r="D65" s="17"/>
      <c r="E65" s="18"/>
      <c r="F65" s="19">
        <f>SUM(F64)</f>
        <v>2700</v>
      </c>
      <c r="G65" s="20"/>
    </row>
    <row r="66" spans="2:7" x14ac:dyDescent="0.25">
      <c r="B66" s="6"/>
      <c r="C66" s="7">
        <v>10156341</v>
      </c>
      <c r="D66" s="8">
        <v>4900010677</v>
      </c>
      <c r="E66" s="9" t="s">
        <v>48</v>
      </c>
      <c r="F66" s="10">
        <v>2720</v>
      </c>
      <c r="G66" s="11"/>
    </row>
    <row r="67" spans="2:7" x14ac:dyDescent="0.25">
      <c r="B67" s="29"/>
      <c r="C67" s="16" t="s">
        <v>68</v>
      </c>
      <c r="D67" s="17"/>
      <c r="E67" s="18"/>
      <c r="F67" s="19">
        <f>SUM(F66)</f>
        <v>2720</v>
      </c>
      <c r="G67" s="20"/>
    </row>
    <row r="68" spans="2:7" x14ac:dyDescent="0.25">
      <c r="B68" s="22" t="s">
        <v>36</v>
      </c>
      <c r="C68" s="23"/>
      <c r="D68" s="24"/>
      <c r="E68" s="24"/>
      <c r="F68" s="25">
        <f>SUM(F67,F65,F63)</f>
        <v>14020</v>
      </c>
      <c r="G68" s="1"/>
    </row>
  </sheetData>
  <mergeCells count="3">
    <mergeCell ref="B2:G2"/>
    <mergeCell ref="I2:N2"/>
    <mergeCell ref="P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Auditorias Sem 23</vt:lpstr>
      <vt:lpstr>Proyeccion Sem 24</vt:lpstr>
      <vt:lpstr>Proyeccion Sem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Gonzales</dc:creator>
  <cp:lastModifiedBy>Orlando Quispe</cp:lastModifiedBy>
  <dcterms:created xsi:type="dcterms:W3CDTF">2026-01-04T15:19:26Z</dcterms:created>
  <dcterms:modified xsi:type="dcterms:W3CDTF">2026-06-15T12:53:46Z</dcterms:modified>
</cp:coreProperties>
</file>